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oure\Desktop\dOSSIERJACQUES\"/>
    </mc:Choice>
  </mc:AlternateContent>
  <xr:revisionPtr revIDLastSave="0" documentId="8_{22736479-3CC6-4C88-B82A-2F21D717794A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BASE_ARTICLE" sheetId="1" r:id="rId1"/>
    <sheet name="LISEZ-MOI" sheetId="2" r:id="rId2"/>
    <sheet name="ATTRIBUTS_ARTICLE" sheetId="3" r:id="rId3"/>
    <sheet name="REF_INTRANTS" sheetId="4" r:id="rId4"/>
    <sheet name="REF_MACHINES" sheetId="5" r:id="rId5"/>
    <sheet name="HORS_NOMENCLATURE" sheetId="6" r:id="rId6"/>
    <sheet name="SYNTHESE" sheetId="7" r:id="rId7"/>
  </sheets>
  <definedNames>
    <definedName name="_xlnm._FilterDatabase" localSheetId="2" hidden="1">ATTRIBUTS_ARTICLE!$A$1:$J$274</definedName>
    <definedName name="_xlnm._FilterDatabase" localSheetId="0" hidden="1">BASE_ARTICLE!$A$1:$BV$274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7" l="1"/>
  <c r="B19" i="7"/>
  <c r="B18" i="7"/>
  <c r="B17" i="7"/>
  <c r="B21" i="7" s="1"/>
  <c r="B12" i="7"/>
  <c r="B11" i="7"/>
  <c r="B10" i="7"/>
  <c r="B9" i="7"/>
  <c r="B8" i="7"/>
  <c r="B7" i="7"/>
  <c r="B6" i="7"/>
  <c r="B5" i="7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274" i="3"/>
  <c r="J274" i="3" s="1"/>
  <c r="H274" i="3"/>
  <c r="G274" i="3"/>
  <c r="B274" i="3"/>
  <c r="A274" i="3"/>
  <c r="J273" i="3"/>
  <c r="I273" i="3"/>
  <c r="H273" i="3"/>
  <c r="G273" i="3"/>
  <c r="B273" i="3"/>
  <c r="A273" i="3"/>
  <c r="I272" i="3"/>
  <c r="J272" i="3" s="1"/>
  <c r="H272" i="3"/>
  <c r="G272" i="3"/>
  <c r="B272" i="3"/>
  <c r="A272" i="3"/>
  <c r="I271" i="3"/>
  <c r="J271" i="3" s="1"/>
  <c r="H271" i="3"/>
  <c r="G271" i="3"/>
  <c r="B271" i="3"/>
  <c r="A271" i="3"/>
  <c r="I270" i="3"/>
  <c r="J270" i="3" s="1"/>
  <c r="H270" i="3"/>
  <c r="G270" i="3"/>
  <c r="B270" i="3"/>
  <c r="A270" i="3"/>
  <c r="I269" i="3"/>
  <c r="J269" i="3" s="1"/>
  <c r="H269" i="3"/>
  <c r="G269" i="3"/>
  <c r="B269" i="3"/>
  <c r="A269" i="3"/>
  <c r="I268" i="3"/>
  <c r="J268" i="3" s="1"/>
  <c r="H268" i="3"/>
  <c r="G268" i="3"/>
  <c r="B268" i="3"/>
  <c r="A268" i="3"/>
  <c r="I267" i="3"/>
  <c r="J267" i="3" s="1"/>
  <c r="H267" i="3"/>
  <c r="G267" i="3"/>
  <c r="B267" i="3"/>
  <c r="A267" i="3"/>
  <c r="I266" i="3"/>
  <c r="J266" i="3" s="1"/>
  <c r="H266" i="3"/>
  <c r="G266" i="3"/>
  <c r="B266" i="3"/>
  <c r="A266" i="3"/>
  <c r="J265" i="3"/>
  <c r="I265" i="3"/>
  <c r="H265" i="3"/>
  <c r="G265" i="3"/>
  <c r="B265" i="3"/>
  <c r="A265" i="3"/>
  <c r="I264" i="3"/>
  <c r="J264" i="3" s="1"/>
  <c r="H264" i="3"/>
  <c r="G264" i="3"/>
  <c r="B264" i="3"/>
  <c r="A264" i="3"/>
  <c r="I263" i="3"/>
  <c r="J263" i="3" s="1"/>
  <c r="H263" i="3"/>
  <c r="G263" i="3"/>
  <c r="B263" i="3"/>
  <c r="A263" i="3"/>
  <c r="I262" i="3"/>
  <c r="J262" i="3" s="1"/>
  <c r="H262" i="3"/>
  <c r="G262" i="3"/>
  <c r="B262" i="3"/>
  <c r="A262" i="3"/>
  <c r="I261" i="3"/>
  <c r="J261" i="3" s="1"/>
  <c r="H261" i="3"/>
  <c r="G261" i="3"/>
  <c r="B261" i="3"/>
  <c r="A261" i="3"/>
  <c r="I260" i="3"/>
  <c r="J260" i="3" s="1"/>
  <c r="H260" i="3"/>
  <c r="G260" i="3"/>
  <c r="B260" i="3"/>
  <c r="A260" i="3"/>
  <c r="I259" i="3"/>
  <c r="J259" i="3" s="1"/>
  <c r="H259" i="3"/>
  <c r="G259" i="3"/>
  <c r="B259" i="3"/>
  <c r="A259" i="3"/>
  <c r="I258" i="3"/>
  <c r="J258" i="3" s="1"/>
  <c r="H258" i="3"/>
  <c r="G258" i="3"/>
  <c r="B258" i="3"/>
  <c r="A258" i="3"/>
  <c r="J257" i="3"/>
  <c r="I257" i="3"/>
  <c r="H257" i="3"/>
  <c r="G257" i="3"/>
  <c r="B257" i="3"/>
  <c r="A257" i="3"/>
  <c r="I256" i="3"/>
  <c r="J256" i="3" s="1"/>
  <c r="H256" i="3"/>
  <c r="G256" i="3"/>
  <c r="B256" i="3"/>
  <c r="A256" i="3"/>
  <c r="I255" i="3"/>
  <c r="J255" i="3" s="1"/>
  <c r="H255" i="3"/>
  <c r="G255" i="3"/>
  <c r="B255" i="3"/>
  <c r="A255" i="3"/>
  <c r="I254" i="3"/>
  <c r="J254" i="3" s="1"/>
  <c r="H254" i="3"/>
  <c r="G254" i="3"/>
  <c r="B254" i="3"/>
  <c r="A254" i="3"/>
  <c r="J253" i="3"/>
  <c r="I253" i="3"/>
  <c r="H253" i="3"/>
  <c r="G253" i="3"/>
  <c r="B253" i="3"/>
  <c r="A253" i="3"/>
  <c r="I252" i="3"/>
  <c r="J252" i="3" s="1"/>
  <c r="H252" i="3"/>
  <c r="G252" i="3"/>
  <c r="B252" i="3"/>
  <c r="A252" i="3"/>
  <c r="I251" i="3"/>
  <c r="J251" i="3" s="1"/>
  <c r="H251" i="3"/>
  <c r="G251" i="3"/>
  <c r="B251" i="3"/>
  <c r="A251" i="3"/>
  <c r="I250" i="3"/>
  <c r="J250" i="3" s="1"/>
  <c r="H250" i="3"/>
  <c r="G250" i="3"/>
  <c r="B250" i="3"/>
  <c r="A250" i="3"/>
  <c r="J249" i="3"/>
  <c r="I249" i="3"/>
  <c r="H249" i="3"/>
  <c r="G249" i="3"/>
  <c r="B249" i="3"/>
  <c r="A249" i="3"/>
  <c r="I248" i="3"/>
  <c r="J248" i="3" s="1"/>
  <c r="H248" i="3"/>
  <c r="G248" i="3"/>
  <c r="B248" i="3"/>
  <c r="A248" i="3"/>
  <c r="I247" i="3"/>
  <c r="J247" i="3" s="1"/>
  <c r="H247" i="3"/>
  <c r="G247" i="3"/>
  <c r="B247" i="3"/>
  <c r="A247" i="3"/>
  <c r="I246" i="3"/>
  <c r="J246" i="3" s="1"/>
  <c r="H246" i="3"/>
  <c r="G246" i="3"/>
  <c r="B246" i="3"/>
  <c r="A246" i="3"/>
  <c r="J245" i="3"/>
  <c r="I245" i="3"/>
  <c r="H245" i="3"/>
  <c r="G245" i="3"/>
  <c r="B245" i="3"/>
  <c r="A245" i="3"/>
  <c r="I244" i="3"/>
  <c r="J244" i="3" s="1"/>
  <c r="H244" i="3"/>
  <c r="G244" i="3"/>
  <c r="B244" i="3"/>
  <c r="A244" i="3"/>
  <c r="I243" i="3"/>
  <c r="J243" i="3" s="1"/>
  <c r="H243" i="3"/>
  <c r="G243" i="3"/>
  <c r="B243" i="3"/>
  <c r="A243" i="3"/>
  <c r="I242" i="3"/>
  <c r="J242" i="3" s="1"/>
  <c r="H242" i="3"/>
  <c r="G242" i="3"/>
  <c r="B242" i="3"/>
  <c r="A242" i="3"/>
  <c r="J241" i="3"/>
  <c r="I241" i="3"/>
  <c r="H241" i="3"/>
  <c r="G241" i="3"/>
  <c r="B241" i="3"/>
  <c r="A241" i="3"/>
  <c r="I240" i="3"/>
  <c r="J240" i="3" s="1"/>
  <c r="H240" i="3"/>
  <c r="G240" i="3"/>
  <c r="B240" i="3"/>
  <c r="A240" i="3"/>
  <c r="I239" i="3"/>
  <c r="J239" i="3" s="1"/>
  <c r="H239" i="3"/>
  <c r="G239" i="3"/>
  <c r="B239" i="3"/>
  <c r="A239" i="3"/>
  <c r="I238" i="3"/>
  <c r="J238" i="3" s="1"/>
  <c r="H238" i="3"/>
  <c r="G238" i="3"/>
  <c r="B238" i="3"/>
  <c r="A238" i="3"/>
  <c r="J237" i="3"/>
  <c r="I237" i="3"/>
  <c r="H237" i="3"/>
  <c r="G237" i="3"/>
  <c r="B237" i="3"/>
  <c r="A237" i="3"/>
  <c r="I236" i="3"/>
  <c r="J236" i="3" s="1"/>
  <c r="H236" i="3"/>
  <c r="G236" i="3"/>
  <c r="B236" i="3"/>
  <c r="A236" i="3"/>
  <c r="I235" i="3"/>
  <c r="J235" i="3" s="1"/>
  <c r="H235" i="3"/>
  <c r="G235" i="3"/>
  <c r="B235" i="3"/>
  <c r="A235" i="3"/>
  <c r="I234" i="3"/>
  <c r="J234" i="3" s="1"/>
  <c r="H234" i="3"/>
  <c r="G234" i="3"/>
  <c r="B234" i="3"/>
  <c r="A234" i="3"/>
  <c r="J233" i="3"/>
  <c r="I233" i="3"/>
  <c r="H233" i="3"/>
  <c r="G233" i="3"/>
  <c r="B233" i="3"/>
  <c r="A233" i="3"/>
  <c r="I232" i="3"/>
  <c r="J232" i="3" s="1"/>
  <c r="H232" i="3"/>
  <c r="G232" i="3"/>
  <c r="B232" i="3"/>
  <c r="A232" i="3"/>
  <c r="I231" i="3"/>
  <c r="J231" i="3" s="1"/>
  <c r="H231" i="3"/>
  <c r="G231" i="3"/>
  <c r="B231" i="3"/>
  <c r="A231" i="3"/>
  <c r="I230" i="3"/>
  <c r="J230" i="3" s="1"/>
  <c r="H230" i="3"/>
  <c r="G230" i="3"/>
  <c r="B230" i="3"/>
  <c r="A230" i="3"/>
  <c r="J229" i="3"/>
  <c r="I229" i="3"/>
  <c r="H229" i="3"/>
  <c r="G229" i="3"/>
  <c r="B229" i="3"/>
  <c r="A229" i="3"/>
  <c r="I228" i="3"/>
  <c r="J228" i="3" s="1"/>
  <c r="H228" i="3"/>
  <c r="G228" i="3"/>
  <c r="B228" i="3"/>
  <c r="A228" i="3"/>
  <c r="I227" i="3"/>
  <c r="J227" i="3" s="1"/>
  <c r="H227" i="3"/>
  <c r="G227" i="3"/>
  <c r="B227" i="3"/>
  <c r="A227" i="3"/>
  <c r="I226" i="3"/>
  <c r="J226" i="3" s="1"/>
  <c r="H226" i="3"/>
  <c r="G226" i="3"/>
  <c r="B226" i="3"/>
  <c r="A226" i="3"/>
  <c r="J225" i="3"/>
  <c r="I225" i="3"/>
  <c r="H225" i="3"/>
  <c r="G225" i="3"/>
  <c r="B225" i="3"/>
  <c r="A225" i="3"/>
  <c r="I224" i="3"/>
  <c r="J224" i="3" s="1"/>
  <c r="H224" i="3"/>
  <c r="G224" i="3"/>
  <c r="B224" i="3"/>
  <c r="A224" i="3"/>
  <c r="I223" i="3"/>
  <c r="J223" i="3" s="1"/>
  <c r="H223" i="3"/>
  <c r="G223" i="3"/>
  <c r="B223" i="3"/>
  <c r="A223" i="3"/>
  <c r="I222" i="3"/>
  <c r="J222" i="3" s="1"/>
  <c r="H222" i="3"/>
  <c r="G222" i="3"/>
  <c r="B222" i="3"/>
  <c r="A222" i="3"/>
  <c r="J221" i="3"/>
  <c r="I221" i="3"/>
  <c r="H221" i="3"/>
  <c r="G221" i="3"/>
  <c r="B221" i="3"/>
  <c r="A221" i="3"/>
  <c r="I220" i="3"/>
  <c r="J220" i="3" s="1"/>
  <c r="H220" i="3"/>
  <c r="G220" i="3"/>
  <c r="B220" i="3"/>
  <c r="A220" i="3"/>
  <c r="I219" i="3"/>
  <c r="J219" i="3" s="1"/>
  <c r="H219" i="3"/>
  <c r="G219" i="3"/>
  <c r="B219" i="3"/>
  <c r="A219" i="3"/>
  <c r="I218" i="3"/>
  <c r="J218" i="3" s="1"/>
  <c r="H218" i="3"/>
  <c r="G218" i="3"/>
  <c r="B218" i="3"/>
  <c r="A218" i="3"/>
  <c r="J217" i="3"/>
  <c r="I217" i="3"/>
  <c r="H217" i="3"/>
  <c r="G217" i="3"/>
  <c r="B217" i="3"/>
  <c r="A217" i="3"/>
  <c r="I216" i="3"/>
  <c r="J216" i="3" s="1"/>
  <c r="H216" i="3"/>
  <c r="G216" i="3"/>
  <c r="B216" i="3"/>
  <c r="A216" i="3"/>
  <c r="I215" i="3"/>
  <c r="J215" i="3" s="1"/>
  <c r="H215" i="3"/>
  <c r="G215" i="3"/>
  <c r="B215" i="3"/>
  <c r="A215" i="3"/>
  <c r="I214" i="3"/>
  <c r="J214" i="3" s="1"/>
  <c r="H214" i="3"/>
  <c r="G214" i="3"/>
  <c r="B214" i="3"/>
  <c r="A214" i="3"/>
  <c r="J213" i="3"/>
  <c r="I213" i="3"/>
  <c r="H213" i="3"/>
  <c r="G213" i="3"/>
  <c r="B213" i="3"/>
  <c r="A213" i="3"/>
  <c r="I212" i="3"/>
  <c r="J212" i="3" s="1"/>
  <c r="H212" i="3"/>
  <c r="G212" i="3"/>
  <c r="B212" i="3"/>
  <c r="A212" i="3"/>
  <c r="I211" i="3"/>
  <c r="J211" i="3" s="1"/>
  <c r="H211" i="3"/>
  <c r="G211" i="3"/>
  <c r="B211" i="3"/>
  <c r="A211" i="3"/>
  <c r="I210" i="3"/>
  <c r="J210" i="3" s="1"/>
  <c r="H210" i="3"/>
  <c r="G210" i="3"/>
  <c r="B210" i="3"/>
  <c r="A210" i="3"/>
  <c r="J209" i="3"/>
  <c r="I209" i="3"/>
  <c r="H209" i="3"/>
  <c r="G209" i="3"/>
  <c r="B209" i="3"/>
  <c r="A209" i="3"/>
  <c r="I208" i="3"/>
  <c r="J208" i="3" s="1"/>
  <c r="H208" i="3"/>
  <c r="G208" i="3"/>
  <c r="B208" i="3"/>
  <c r="A208" i="3"/>
  <c r="I207" i="3"/>
  <c r="J207" i="3" s="1"/>
  <c r="H207" i="3"/>
  <c r="G207" i="3"/>
  <c r="B207" i="3"/>
  <c r="A207" i="3"/>
  <c r="I206" i="3"/>
  <c r="J206" i="3" s="1"/>
  <c r="H206" i="3"/>
  <c r="G206" i="3"/>
  <c r="B206" i="3"/>
  <c r="A206" i="3"/>
  <c r="J205" i="3"/>
  <c r="I205" i="3"/>
  <c r="H205" i="3"/>
  <c r="G205" i="3"/>
  <c r="B205" i="3"/>
  <c r="A205" i="3"/>
  <c r="I204" i="3"/>
  <c r="J204" i="3" s="1"/>
  <c r="H204" i="3"/>
  <c r="G204" i="3"/>
  <c r="B204" i="3"/>
  <c r="A204" i="3"/>
  <c r="I203" i="3"/>
  <c r="J203" i="3" s="1"/>
  <c r="H203" i="3"/>
  <c r="G203" i="3"/>
  <c r="B203" i="3"/>
  <c r="A203" i="3"/>
  <c r="I202" i="3"/>
  <c r="J202" i="3" s="1"/>
  <c r="H202" i="3"/>
  <c r="G202" i="3"/>
  <c r="B202" i="3"/>
  <c r="A202" i="3"/>
  <c r="J201" i="3"/>
  <c r="I201" i="3"/>
  <c r="H201" i="3"/>
  <c r="G201" i="3"/>
  <c r="B201" i="3"/>
  <c r="A201" i="3"/>
  <c r="I200" i="3"/>
  <c r="J200" i="3" s="1"/>
  <c r="H200" i="3"/>
  <c r="G200" i="3"/>
  <c r="B200" i="3"/>
  <c r="A200" i="3"/>
  <c r="I199" i="3"/>
  <c r="J199" i="3" s="1"/>
  <c r="H199" i="3"/>
  <c r="G199" i="3"/>
  <c r="B199" i="3"/>
  <c r="A199" i="3"/>
  <c r="I198" i="3"/>
  <c r="J198" i="3" s="1"/>
  <c r="H198" i="3"/>
  <c r="G198" i="3"/>
  <c r="B198" i="3"/>
  <c r="A198" i="3"/>
  <c r="J197" i="3"/>
  <c r="I197" i="3"/>
  <c r="H197" i="3"/>
  <c r="G197" i="3"/>
  <c r="B197" i="3"/>
  <c r="A197" i="3"/>
  <c r="I196" i="3"/>
  <c r="J196" i="3" s="1"/>
  <c r="H196" i="3"/>
  <c r="G196" i="3"/>
  <c r="B196" i="3"/>
  <c r="A196" i="3"/>
  <c r="I195" i="3"/>
  <c r="J195" i="3" s="1"/>
  <c r="H195" i="3"/>
  <c r="G195" i="3"/>
  <c r="B195" i="3"/>
  <c r="A195" i="3"/>
  <c r="I194" i="3"/>
  <c r="J194" i="3" s="1"/>
  <c r="H194" i="3"/>
  <c r="G194" i="3"/>
  <c r="B194" i="3"/>
  <c r="A194" i="3"/>
  <c r="J193" i="3"/>
  <c r="I193" i="3"/>
  <c r="H193" i="3"/>
  <c r="G193" i="3"/>
  <c r="B193" i="3"/>
  <c r="A193" i="3"/>
  <c r="I192" i="3"/>
  <c r="J192" i="3" s="1"/>
  <c r="H192" i="3"/>
  <c r="G192" i="3"/>
  <c r="B192" i="3"/>
  <c r="A192" i="3"/>
  <c r="I191" i="3"/>
  <c r="J191" i="3" s="1"/>
  <c r="H191" i="3"/>
  <c r="G191" i="3"/>
  <c r="B191" i="3"/>
  <c r="A191" i="3"/>
  <c r="I190" i="3"/>
  <c r="J190" i="3" s="1"/>
  <c r="H190" i="3"/>
  <c r="G190" i="3"/>
  <c r="B190" i="3"/>
  <c r="A190" i="3"/>
  <c r="J189" i="3"/>
  <c r="I189" i="3"/>
  <c r="H189" i="3"/>
  <c r="G189" i="3"/>
  <c r="B189" i="3"/>
  <c r="A189" i="3"/>
  <c r="I188" i="3"/>
  <c r="J188" i="3" s="1"/>
  <c r="H188" i="3"/>
  <c r="G188" i="3"/>
  <c r="B188" i="3"/>
  <c r="A188" i="3"/>
  <c r="I187" i="3"/>
  <c r="J187" i="3" s="1"/>
  <c r="H187" i="3"/>
  <c r="G187" i="3"/>
  <c r="B187" i="3"/>
  <c r="A187" i="3"/>
  <c r="I186" i="3"/>
  <c r="J186" i="3" s="1"/>
  <c r="H186" i="3"/>
  <c r="G186" i="3"/>
  <c r="B186" i="3"/>
  <c r="A186" i="3"/>
  <c r="J185" i="3"/>
  <c r="I185" i="3"/>
  <c r="H185" i="3"/>
  <c r="G185" i="3"/>
  <c r="B185" i="3"/>
  <c r="A185" i="3"/>
  <c r="I184" i="3"/>
  <c r="J184" i="3" s="1"/>
  <c r="H184" i="3"/>
  <c r="G184" i="3"/>
  <c r="B184" i="3"/>
  <c r="A184" i="3"/>
  <c r="I183" i="3"/>
  <c r="J183" i="3" s="1"/>
  <c r="H183" i="3"/>
  <c r="G183" i="3"/>
  <c r="B183" i="3"/>
  <c r="A183" i="3"/>
  <c r="I182" i="3"/>
  <c r="J182" i="3" s="1"/>
  <c r="H182" i="3"/>
  <c r="G182" i="3"/>
  <c r="B182" i="3"/>
  <c r="A182" i="3"/>
  <c r="J181" i="3"/>
  <c r="I181" i="3"/>
  <c r="H181" i="3"/>
  <c r="G181" i="3"/>
  <c r="B181" i="3"/>
  <c r="A181" i="3"/>
  <c r="I180" i="3"/>
  <c r="J180" i="3" s="1"/>
  <c r="H180" i="3"/>
  <c r="G180" i="3"/>
  <c r="B180" i="3"/>
  <c r="A180" i="3"/>
  <c r="I179" i="3"/>
  <c r="J179" i="3" s="1"/>
  <c r="H179" i="3"/>
  <c r="G179" i="3"/>
  <c r="B179" i="3"/>
  <c r="A179" i="3"/>
  <c r="I178" i="3"/>
  <c r="J178" i="3" s="1"/>
  <c r="H178" i="3"/>
  <c r="G178" i="3"/>
  <c r="B178" i="3"/>
  <c r="A178" i="3"/>
  <c r="J177" i="3"/>
  <c r="I177" i="3"/>
  <c r="H177" i="3"/>
  <c r="G177" i="3"/>
  <c r="B177" i="3"/>
  <c r="A177" i="3"/>
  <c r="I176" i="3"/>
  <c r="J176" i="3" s="1"/>
  <c r="H176" i="3"/>
  <c r="G176" i="3"/>
  <c r="B176" i="3"/>
  <c r="A176" i="3"/>
  <c r="I175" i="3"/>
  <c r="J175" i="3" s="1"/>
  <c r="H175" i="3"/>
  <c r="G175" i="3"/>
  <c r="B175" i="3"/>
  <c r="A175" i="3"/>
  <c r="I174" i="3"/>
  <c r="J174" i="3" s="1"/>
  <c r="H174" i="3"/>
  <c r="G174" i="3"/>
  <c r="B174" i="3"/>
  <c r="A174" i="3"/>
  <c r="J173" i="3"/>
  <c r="I173" i="3"/>
  <c r="H173" i="3"/>
  <c r="G173" i="3"/>
  <c r="B173" i="3"/>
  <c r="A173" i="3"/>
  <c r="I172" i="3"/>
  <c r="J172" i="3" s="1"/>
  <c r="H172" i="3"/>
  <c r="G172" i="3"/>
  <c r="B172" i="3"/>
  <c r="A172" i="3"/>
  <c r="I171" i="3"/>
  <c r="J171" i="3" s="1"/>
  <c r="H171" i="3"/>
  <c r="G171" i="3"/>
  <c r="B171" i="3"/>
  <c r="A171" i="3"/>
  <c r="I170" i="3"/>
  <c r="J170" i="3" s="1"/>
  <c r="H170" i="3"/>
  <c r="G170" i="3"/>
  <c r="B170" i="3"/>
  <c r="A170" i="3"/>
  <c r="J169" i="3"/>
  <c r="I169" i="3"/>
  <c r="H169" i="3"/>
  <c r="G169" i="3"/>
  <c r="B169" i="3"/>
  <c r="A169" i="3"/>
  <c r="I168" i="3"/>
  <c r="J168" i="3" s="1"/>
  <c r="H168" i="3"/>
  <c r="G168" i="3"/>
  <c r="B168" i="3"/>
  <c r="A168" i="3"/>
  <c r="I167" i="3"/>
  <c r="J167" i="3" s="1"/>
  <c r="H167" i="3"/>
  <c r="G167" i="3"/>
  <c r="B167" i="3"/>
  <c r="A167" i="3"/>
  <c r="I166" i="3"/>
  <c r="J166" i="3" s="1"/>
  <c r="H166" i="3"/>
  <c r="G166" i="3"/>
  <c r="B166" i="3"/>
  <c r="A166" i="3"/>
  <c r="J165" i="3"/>
  <c r="I165" i="3"/>
  <c r="H165" i="3"/>
  <c r="G165" i="3"/>
  <c r="B165" i="3"/>
  <c r="A165" i="3"/>
  <c r="I164" i="3"/>
  <c r="J164" i="3" s="1"/>
  <c r="H164" i="3"/>
  <c r="G164" i="3"/>
  <c r="B164" i="3"/>
  <c r="A164" i="3"/>
  <c r="I163" i="3"/>
  <c r="J163" i="3" s="1"/>
  <c r="H163" i="3"/>
  <c r="G163" i="3"/>
  <c r="B163" i="3"/>
  <c r="A163" i="3"/>
  <c r="I162" i="3"/>
  <c r="J162" i="3" s="1"/>
  <c r="H162" i="3"/>
  <c r="G162" i="3"/>
  <c r="B162" i="3"/>
  <c r="A162" i="3"/>
  <c r="J161" i="3"/>
  <c r="I161" i="3"/>
  <c r="H161" i="3"/>
  <c r="G161" i="3"/>
  <c r="B161" i="3"/>
  <c r="A161" i="3"/>
  <c r="I160" i="3"/>
  <c r="J160" i="3" s="1"/>
  <c r="H160" i="3"/>
  <c r="G160" i="3"/>
  <c r="B160" i="3"/>
  <c r="A160" i="3"/>
  <c r="I159" i="3"/>
  <c r="J159" i="3" s="1"/>
  <c r="H159" i="3"/>
  <c r="G159" i="3"/>
  <c r="B159" i="3"/>
  <c r="A159" i="3"/>
  <c r="I158" i="3"/>
  <c r="J158" i="3" s="1"/>
  <c r="H158" i="3"/>
  <c r="G158" i="3"/>
  <c r="B158" i="3"/>
  <c r="A158" i="3"/>
  <c r="J157" i="3"/>
  <c r="I157" i="3"/>
  <c r="H157" i="3"/>
  <c r="G157" i="3"/>
  <c r="B157" i="3"/>
  <c r="A157" i="3"/>
  <c r="I156" i="3"/>
  <c r="J156" i="3" s="1"/>
  <c r="H156" i="3"/>
  <c r="G156" i="3"/>
  <c r="B156" i="3"/>
  <c r="A156" i="3"/>
  <c r="I155" i="3"/>
  <c r="J155" i="3" s="1"/>
  <c r="H155" i="3"/>
  <c r="G155" i="3"/>
  <c r="B155" i="3"/>
  <c r="A155" i="3"/>
  <c r="I154" i="3"/>
  <c r="J154" i="3" s="1"/>
  <c r="H154" i="3"/>
  <c r="G154" i="3"/>
  <c r="B154" i="3"/>
  <c r="A154" i="3"/>
  <c r="J153" i="3"/>
  <c r="I153" i="3"/>
  <c r="H153" i="3"/>
  <c r="G153" i="3"/>
  <c r="B153" i="3"/>
  <c r="A153" i="3"/>
  <c r="I152" i="3"/>
  <c r="J152" i="3" s="1"/>
  <c r="H152" i="3"/>
  <c r="G152" i="3"/>
  <c r="B152" i="3"/>
  <c r="A152" i="3"/>
  <c r="I151" i="3"/>
  <c r="J151" i="3" s="1"/>
  <c r="H151" i="3"/>
  <c r="G151" i="3"/>
  <c r="B151" i="3"/>
  <c r="A151" i="3"/>
  <c r="I150" i="3"/>
  <c r="J150" i="3" s="1"/>
  <c r="H150" i="3"/>
  <c r="G150" i="3"/>
  <c r="B150" i="3"/>
  <c r="A150" i="3"/>
  <c r="J149" i="3"/>
  <c r="I149" i="3"/>
  <c r="H149" i="3"/>
  <c r="G149" i="3"/>
  <c r="B149" i="3"/>
  <c r="A149" i="3"/>
  <c r="I148" i="3"/>
  <c r="J148" i="3" s="1"/>
  <c r="H148" i="3"/>
  <c r="G148" i="3"/>
  <c r="B148" i="3"/>
  <c r="A148" i="3"/>
  <c r="I147" i="3"/>
  <c r="J147" i="3" s="1"/>
  <c r="H147" i="3"/>
  <c r="G147" i="3"/>
  <c r="B147" i="3"/>
  <c r="A147" i="3"/>
  <c r="I146" i="3"/>
  <c r="J146" i="3" s="1"/>
  <c r="H146" i="3"/>
  <c r="G146" i="3"/>
  <c r="B146" i="3"/>
  <c r="A146" i="3"/>
  <c r="J145" i="3"/>
  <c r="I145" i="3"/>
  <c r="H145" i="3"/>
  <c r="G145" i="3"/>
  <c r="B145" i="3"/>
  <c r="A145" i="3"/>
  <c r="I144" i="3"/>
  <c r="J144" i="3" s="1"/>
  <c r="H144" i="3"/>
  <c r="G144" i="3"/>
  <c r="B144" i="3"/>
  <c r="A144" i="3"/>
  <c r="I143" i="3"/>
  <c r="J143" i="3" s="1"/>
  <c r="H143" i="3"/>
  <c r="G143" i="3"/>
  <c r="B143" i="3"/>
  <c r="A143" i="3"/>
  <c r="I142" i="3"/>
  <c r="J142" i="3" s="1"/>
  <c r="H142" i="3"/>
  <c r="G142" i="3"/>
  <c r="B142" i="3"/>
  <c r="A142" i="3"/>
  <c r="I141" i="3"/>
  <c r="J141" i="3" s="1"/>
  <c r="H141" i="3"/>
  <c r="G141" i="3"/>
  <c r="B141" i="3"/>
  <c r="A141" i="3"/>
  <c r="I140" i="3"/>
  <c r="J140" i="3" s="1"/>
  <c r="H140" i="3"/>
  <c r="G140" i="3"/>
  <c r="B140" i="3"/>
  <c r="A140" i="3"/>
  <c r="I139" i="3"/>
  <c r="J139" i="3" s="1"/>
  <c r="H139" i="3"/>
  <c r="G139" i="3"/>
  <c r="B139" i="3"/>
  <c r="A139" i="3"/>
  <c r="I138" i="3"/>
  <c r="J138" i="3" s="1"/>
  <c r="H138" i="3"/>
  <c r="G138" i="3"/>
  <c r="B138" i="3"/>
  <c r="A138" i="3"/>
  <c r="J137" i="3"/>
  <c r="I137" i="3"/>
  <c r="H137" i="3"/>
  <c r="G137" i="3"/>
  <c r="B137" i="3"/>
  <c r="A137" i="3"/>
  <c r="I136" i="3"/>
  <c r="J136" i="3" s="1"/>
  <c r="H136" i="3"/>
  <c r="G136" i="3"/>
  <c r="B136" i="3"/>
  <c r="A136" i="3"/>
  <c r="I135" i="3"/>
  <c r="J135" i="3" s="1"/>
  <c r="H135" i="3"/>
  <c r="G135" i="3"/>
  <c r="B135" i="3"/>
  <c r="A135" i="3"/>
  <c r="I134" i="3"/>
  <c r="J134" i="3" s="1"/>
  <c r="H134" i="3"/>
  <c r="G134" i="3"/>
  <c r="B134" i="3"/>
  <c r="A134" i="3"/>
  <c r="I133" i="3"/>
  <c r="J133" i="3" s="1"/>
  <c r="H133" i="3"/>
  <c r="G133" i="3"/>
  <c r="B133" i="3"/>
  <c r="A133" i="3"/>
  <c r="I132" i="3"/>
  <c r="J132" i="3" s="1"/>
  <c r="H132" i="3"/>
  <c r="G132" i="3"/>
  <c r="B132" i="3"/>
  <c r="A132" i="3"/>
  <c r="I131" i="3"/>
  <c r="J131" i="3" s="1"/>
  <c r="H131" i="3"/>
  <c r="G131" i="3"/>
  <c r="B131" i="3"/>
  <c r="A131" i="3"/>
  <c r="I130" i="3"/>
  <c r="J130" i="3" s="1"/>
  <c r="H130" i="3"/>
  <c r="G130" i="3"/>
  <c r="B130" i="3"/>
  <c r="A130" i="3"/>
  <c r="J129" i="3"/>
  <c r="I129" i="3"/>
  <c r="H129" i="3"/>
  <c r="G129" i="3"/>
  <c r="B129" i="3"/>
  <c r="A129" i="3"/>
  <c r="I128" i="3"/>
  <c r="J128" i="3" s="1"/>
  <c r="H128" i="3"/>
  <c r="G128" i="3"/>
  <c r="B128" i="3"/>
  <c r="A128" i="3"/>
  <c r="I127" i="3"/>
  <c r="J127" i="3" s="1"/>
  <c r="H127" i="3"/>
  <c r="G127" i="3"/>
  <c r="B127" i="3"/>
  <c r="A127" i="3"/>
  <c r="I126" i="3"/>
  <c r="J126" i="3" s="1"/>
  <c r="H126" i="3"/>
  <c r="G126" i="3"/>
  <c r="B126" i="3"/>
  <c r="A126" i="3"/>
  <c r="I125" i="3"/>
  <c r="J125" i="3" s="1"/>
  <c r="H125" i="3"/>
  <c r="G125" i="3"/>
  <c r="B125" i="3"/>
  <c r="A125" i="3"/>
  <c r="I124" i="3"/>
  <c r="J124" i="3" s="1"/>
  <c r="H124" i="3"/>
  <c r="G124" i="3"/>
  <c r="B124" i="3"/>
  <c r="A124" i="3"/>
  <c r="I123" i="3"/>
  <c r="J123" i="3" s="1"/>
  <c r="H123" i="3"/>
  <c r="G123" i="3"/>
  <c r="B123" i="3"/>
  <c r="A123" i="3"/>
  <c r="I122" i="3"/>
  <c r="J122" i="3" s="1"/>
  <c r="H122" i="3"/>
  <c r="G122" i="3"/>
  <c r="B122" i="3"/>
  <c r="A122" i="3"/>
  <c r="J121" i="3"/>
  <c r="I121" i="3"/>
  <c r="H121" i="3"/>
  <c r="G121" i="3"/>
  <c r="B121" i="3"/>
  <c r="A121" i="3"/>
  <c r="I120" i="3"/>
  <c r="J120" i="3" s="1"/>
  <c r="H120" i="3"/>
  <c r="G120" i="3"/>
  <c r="B120" i="3"/>
  <c r="A120" i="3"/>
  <c r="I119" i="3"/>
  <c r="J119" i="3" s="1"/>
  <c r="H119" i="3"/>
  <c r="G119" i="3"/>
  <c r="B119" i="3"/>
  <c r="A119" i="3"/>
  <c r="I118" i="3"/>
  <c r="J118" i="3" s="1"/>
  <c r="H118" i="3"/>
  <c r="G118" i="3"/>
  <c r="B118" i="3"/>
  <c r="A118" i="3"/>
  <c r="I117" i="3"/>
  <c r="J117" i="3" s="1"/>
  <c r="H117" i="3"/>
  <c r="G117" i="3"/>
  <c r="B117" i="3"/>
  <c r="A117" i="3"/>
  <c r="I116" i="3"/>
  <c r="J116" i="3" s="1"/>
  <c r="H116" i="3"/>
  <c r="G116" i="3"/>
  <c r="B116" i="3"/>
  <c r="A116" i="3"/>
  <c r="I115" i="3"/>
  <c r="J115" i="3" s="1"/>
  <c r="H115" i="3"/>
  <c r="G115" i="3"/>
  <c r="B115" i="3"/>
  <c r="A115" i="3"/>
  <c r="I114" i="3"/>
  <c r="J114" i="3" s="1"/>
  <c r="H114" i="3"/>
  <c r="G114" i="3"/>
  <c r="B114" i="3"/>
  <c r="A114" i="3"/>
  <c r="I113" i="3"/>
  <c r="J113" i="3" s="1"/>
  <c r="H113" i="3"/>
  <c r="G113" i="3"/>
  <c r="B113" i="3"/>
  <c r="A113" i="3"/>
  <c r="I112" i="3"/>
  <c r="J112" i="3" s="1"/>
  <c r="H112" i="3"/>
  <c r="G112" i="3"/>
  <c r="B112" i="3"/>
  <c r="A112" i="3"/>
  <c r="I111" i="3"/>
  <c r="J111" i="3" s="1"/>
  <c r="H111" i="3"/>
  <c r="G111" i="3"/>
  <c r="B111" i="3"/>
  <c r="A111" i="3"/>
  <c r="I110" i="3"/>
  <c r="J110" i="3" s="1"/>
  <c r="H110" i="3"/>
  <c r="G110" i="3"/>
  <c r="B110" i="3"/>
  <c r="A110" i="3"/>
  <c r="I109" i="3"/>
  <c r="J109" i="3" s="1"/>
  <c r="H109" i="3"/>
  <c r="G109" i="3"/>
  <c r="B109" i="3"/>
  <c r="A109" i="3"/>
  <c r="I108" i="3"/>
  <c r="J108" i="3" s="1"/>
  <c r="H108" i="3"/>
  <c r="G108" i="3"/>
  <c r="B108" i="3"/>
  <c r="A108" i="3"/>
  <c r="I107" i="3"/>
  <c r="J107" i="3" s="1"/>
  <c r="H107" i="3"/>
  <c r="G107" i="3"/>
  <c r="B107" i="3"/>
  <c r="A107" i="3"/>
  <c r="I106" i="3"/>
  <c r="J106" i="3" s="1"/>
  <c r="H106" i="3"/>
  <c r="G106" i="3"/>
  <c r="B106" i="3"/>
  <c r="A106" i="3"/>
  <c r="I105" i="3"/>
  <c r="J105" i="3" s="1"/>
  <c r="H105" i="3"/>
  <c r="G105" i="3"/>
  <c r="B105" i="3"/>
  <c r="A105" i="3"/>
  <c r="J104" i="3"/>
  <c r="I104" i="3"/>
  <c r="H104" i="3"/>
  <c r="G104" i="3"/>
  <c r="B104" i="3"/>
  <c r="A104" i="3"/>
  <c r="I103" i="3"/>
  <c r="J103" i="3" s="1"/>
  <c r="H103" i="3"/>
  <c r="G103" i="3"/>
  <c r="B103" i="3"/>
  <c r="A103" i="3"/>
  <c r="I102" i="3"/>
  <c r="J102" i="3" s="1"/>
  <c r="H102" i="3"/>
  <c r="G102" i="3"/>
  <c r="B102" i="3"/>
  <c r="A102" i="3"/>
  <c r="I101" i="3"/>
  <c r="J101" i="3" s="1"/>
  <c r="H101" i="3"/>
  <c r="G101" i="3"/>
  <c r="B101" i="3"/>
  <c r="A101" i="3"/>
  <c r="I100" i="3"/>
  <c r="J100" i="3" s="1"/>
  <c r="H100" i="3"/>
  <c r="G100" i="3"/>
  <c r="B100" i="3"/>
  <c r="A100" i="3"/>
  <c r="I99" i="3"/>
  <c r="J99" i="3" s="1"/>
  <c r="H99" i="3"/>
  <c r="G99" i="3"/>
  <c r="B99" i="3"/>
  <c r="A99" i="3"/>
  <c r="J98" i="3"/>
  <c r="I98" i="3"/>
  <c r="H98" i="3"/>
  <c r="G98" i="3"/>
  <c r="B98" i="3"/>
  <c r="A98" i="3"/>
  <c r="I97" i="3"/>
  <c r="J97" i="3" s="1"/>
  <c r="H97" i="3"/>
  <c r="G97" i="3"/>
  <c r="B97" i="3"/>
  <c r="A97" i="3"/>
  <c r="J96" i="3"/>
  <c r="I96" i="3"/>
  <c r="H96" i="3"/>
  <c r="G96" i="3"/>
  <c r="B96" i="3"/>
  <c r="A96" i="3"/>
  <c r="I95" i="3"/>
  <c r="J95" i="3" s="1"/>
  <c r="H95" i="3"/>
  <c r="G95" i="3"/>
  <c r="B95" i="3"/>
  <c r="A95" i="3"/>
  <c r="I94" i="3"/>
  <c r="J94" i="3" s="1"/>
  <c r="H94" i="3"/>
  <c r="G94" i="3"/>
  <c r="B94" i="3"/>
  <c r="A94" i="3"/>
  <c r="I93" i="3"/>
  <c r="J93" i="3" s="1"/>
  <c r="H93" i="3"/>
  <c r="G93" i="3"/>
  <c r="B93" i="3"/>
  <c r="A93" i="3"/>
  <c r="I92" i="3"/>
  <c r="J92" i="3" s="1"/>
  <c r="H92" i="3"/>
  <c r="G92" i="3"/>
  <c r="B92" i="3"/>
  <c r="A92" i="3"/>
  <c r="I91" i="3"/>
  <c r="J91" i="3" s="1"/>
  <c r="H91" i="3"/>
  <c r="G91" i="3"/>
  <c r="B91" i="3"/>
  <c r="A91" i="3"/>
  <c r="J90" i="3"/>
  <c r="I90" i="3"/>
  <c r="H90" i="3"/>
  <c r="G90" i="3"/>
  <c r="B90" i="3"/>
  <c r="A90" i="3"/>
  <c r="I89" i="3"/>
  <c r="J89" i="3" s="1"/>
  <c r="H89" i="3"/>
  <c r="G89" i="3"/>
  <c r="B89" i="3"/>
  <c r="A89" i="3"/>
  <c r="J88" i="3"/>
  <c r="I88" i="3"/>
  <c r="H88" i="3"/>
  <c r="G88" i="3"/>
  <c r="B88" i="3"/>
  <c r="A88" i="3"/>
  <c r="I87" i="3"/>
  <c r="J87" i="3" s="1"/>
  <c r="H87" i="3"/>
  <c r="G87" i="3"/>
  <c r="B87" i="3"/>
  <c r="A87" i="3"/>
  <c r="I86" i="3"/>
  <c r="J86" i="3" s="1"/>
  <c r="H86" i="3"/>
  <c r="G86" i="3"/>
  <c r="B86" i="3"/>
  <c r="A86" i="3"/>
  <c r="I85" i="3"/>
  <c r="J85" i="3" s="1"/>
  <c r="H85" i="3"/>
  <c r="G85" i="3"/>
  <c r="B85" i="3"/>
  <c r="A85" i="3"/>
  <c r="I84" i="3"/>
  <c r="J84" i="3" s="1"/>
  <c r="H84" i="3"/>
  <c r="G84" i="3"/>
  <c r="B84" i="3"/>
  <c r="A84" i="3"/>
  <c r="I83" i="3"/>
  <c r="J83" i="3" s="1"/>
  <c r="H83" i="3"/>
  <c r="G83" i="3"/>
  <c r="B83" i="3"/>
  <c r="A83" i="3"/>
  <c r="J82" i="3"/>
  <c r="I82" i="3"/>
  <c r="H82" i="3"/>
  <c r="G82" i="3"/>
  <c r="B82" i="3"/>
  <c r="A82" i="3"/>
  <c r="I81" i="3"/>
  <c r="J81" i="3" s="1"/>
  <c r="H81" i="3"/>
  <c r="G81" i="3"/>
  <c r="B81" i="3"/>
  <c r="A81" i="3"/>
  <c r="J80" i="3"/>
  <c r="I80" i="3"/>
  <c r="H80" i="3"/>
  <c r="G80" i="3"/>
  <c r="B80" i="3"/>
  <c r="A80" i="3"/>
  <c r="I79" i="3"/>
  <c r="J79" i="3" s="1"/>
  <c r="H79" i="3"/>
  <c r="G79" i="3"/>
  <c r="B79" i="3"/>
  <c r="A79" i="3"/>
  <c r="I78" i="3"/>
  <c r="J78" i="3" s="1"/>
  <c r="H78" i="3"/>
  <c r="G78" i="3"/>
  <c r="B78" i="3"/>
  <c r="A78" i="3"/>
  <c r="I77" i="3"/>
  <c r="J77" i="3" s="1"/>
  <c r="H77" i="3"/>
  <c r="G77" i="3"/>
  <c r="B77" i="3"/>
  <c r="A77" i="3"/>
  <c r="I76" i="3"/>
  <c r="J76" i="3" s="1"/>
  <c r="H76" i="3"/>
  <c r="G76" i="3"/>
  <c r="B76" i="3"/>
  <c r="A76" i="3"/>
  <c r="I75" i="3"/>
  <c r="J75" i="3" s="1"/>
  <c r="H75" i="3"/>
  <c r="G75" i="3"/>
  <c r="B75" i="3"/>
  <c r="A75" i="3"/>
  <c r="J74" i="3"/>
  <c r="I74" i="3"/>
  <c r="H74" i="3"/>
  <c r="G74" i="3"/>
  <c r="B74" i="3"/>
  <c r="A74" i="3"/>
  <c r="I73" i="3"/>
  <c r="J73" i="3" s="1"/>
  <c r="H73" i="3"/>
  <c r="G73" i="3"/>
  <c r="B73" i="3"/>
  <c r="A73" i="3"/>
  <c r="J72" i="3"/>
  <c r="I72" i="3"/>
  <c r="H72" i="3"/>
  <c r="G72" i="3"/>
  <c r="B72" i="3"/>
  <c r="A72" i="3"/>
  <c r="I71" i="3"/>
  <c r="J71" i="3" s="1"/>
  <c r="H71" i="3"/>
  <c r="G71" i="3"/>
  <c r="B71" i="3"/>
  <c r="A71" i="3"/>
  <c r="I70" i="3"/>
  <c r="J70" i="3" s="1"/>
  <c r="H70" i="3"/>
  <c r="G70" i="3"/>
  <c r="B70" i="3"/>
  <c r="A70" i="3"/>
  <c r="I69" i="3"/>
  <c r="J69" i="3" s="1"/>
  <c r="H69" i="3"/>
  <c r="G69" i="3"/>
  <c r="B69" i="3"/>
  <c r="A69" i="3"/>
  <c r="I68" i="3"/>
  <c r="J68" i="3" s="1"/>
  <c r="H68" i="3"/>
  <c r="G68" i="3"/>
  <c r="B68" i="3"/>
  <c r="A68" i="3"/>
  <c r="I67" i="3"/>
  <c r="J67" i="3" s="1"/>
  <c r="H67" i="3"/>
  <c r="G67" i="3"/>
  <c r="B67" i="3"/>
  <c r="A67" i="3"/>
  <c r="J66" i="3"/>
  <c r="I66" i="3"/>
  <c r="H66" i="3"/>
  <c r="G66" i="3"/>
  <c r="B66" i="3"/>
  <c r="A66" i="3"/>
  <c r="I65" i="3"/>
  <c r="J65" i="3" s="1"/>
  <c r="H65" i="3"/>
  <c r="G65" i="3"/>
  <c r="B65" i="3"/>
  <c r="A65" i="3"/>
  <c r="J64" i="3"/>
  <c r="I64" i="3"/>
  <c r="H64" i="3"/>
  <c r="G64" i="3"/>
  <c r="B64" i="3"/>
  <c r="A64" i="3"/>
  <c r="I63" i="3"/>
  <c r="J63" i="3" s="1"/>
  <c r="H63" i="3"/>
  <c r="G63" i="3"/>
  <c r="B63" i="3"/>
  <c r="A63" i="3"/>
  <c r="I62" i="3"/>
  <c r="J62" i="3" s="1"/>
  <c r="H62" i="3"/>
  <c r="G62" i="3"/>
  <c r="B62" i="3"/>
  <c r="A62" i="3"/>
  <c r="I61" i="3"/>
  <c r="J61" i="3" s="1"/>
  <c r="H61" i="3"/>
  <c r="G61" i="3"/>
  <c r="B61" i="3"/>
  <c r="A61" i="3"/>
  <c r="I60" i="3"/>
  <c r="J60" i="3" s="1"/>
  <c r="H60" i="3"/>
  <c r="G60" i="3"/>
  <c r="B60" i="3"/>
  <c r="A60" i="3"/>
  <c r="I59" i="3"/>
  <c r="J59" i="3" s="1"/>
  <c r="H59" i="3"/>
  <c r="G59" i="3"/>
  <c r="B59" i="3"/>
  <c r="A59" i="3"/>
  <c r="J58" i="3"/>
  <c r="I58" i="3"/>
  <c r="H58" i="3"/>
  <c r="G58" i="3"/>
  <c r="B58" i="3"/>
  <c r="A58" i="3"/>
  <c r="I57" i="3"/>
  <c r="J57" i="3" s="1"/>
  <c r="H57" i="3"/>
  <c r="G57" i="3"/>
  <c r="B57" i="3"/>
  <c r="A57" i="3"/>
  <c r="J56" i="3"/>
  <c r="I56" i="3"/>
  <c r="H56" i="3"/>
  <c r="G56" i="3"/>
  <c r="B56" i="3"/>
  <c r="A56" i="3"/>
  <c r="I55" i="3"/>
  <c r="J55" i="3" s="1"/>
  <c r="H55" i="3"/>
  <c r="G55" i="3"/>
  <c r="B55" i="3"/>
  <c r="A55" i="3"/>
  <c r="I54" i="3"/>
  <c r="J54" i="3" s="1"/>
  <c r="H54" i="3"/>
  <c r="G54" i="3"/>
  <c r="B54" i="3"/>
  <c r="A54" i="3"/>
  <c r="I53" i="3"/>
  <c r="J53" i="3" s="1"/>
  <c r="H53" i="3"/>
  <c r="G53" i="3"/>
  <c r="B53" i="3"/>
  <c r="A53" i="3"/>
  <c r="I52" i="3"/>
  <c r="J52" i="3" s="1"/>
  <c r="H52" i="3"/>
  <c r="G52" i="3"/>
  <c r="B52" i="3"/>
  <c r="A52" i="3"/>
  <c r="I51" i="3"/>
  <c r="J51" i="3" s="1"/>
  <c r="H51" i="3"/>
  <c r="G51" i="3"/>
  <c r="B51" i="3"/>
  <c r="A51" i="3"/>
  <c r="J50" i="3"/>
  <c r="I50" i="3"/>
  <c r="H50" i="3"/>
  <c r="G50" i="3"/>
  <c r="B50" i="3"/>
  <c r="A50" i="3"/>
  <c r="I49" i="3"/>
  <c r="J49" i="3" s="1"/>
  <c r="H49" i="3"/>
  <c r="G49" i="3"/>
  <c r="B49" i="3"/>
  <c r="A49" i="3"/>
  <c r="J48" i="3"/>
  <c r="I48" i="3"/>
  <c r="H48" i="3"/>
  <c r="G48" i="3"/>
  <c r="B48" i="3"/>
  <c r="A48" i="3"/>
  <c r="I47" i="3"/>
  <c r="J47" i="3" s="1"/>
  <c r="H47" i="3"/>
  <c r="G47" i="3"/>
  <c r="B47" i="3"/>
  <c r="A47" i="3"/>
  <c r="I46" i="3"/>
  <c r="J46" i="3" s="1"/>
  <c r="H46" i="3"/>
  <c r="G46" i="3"/>
  <c r="B46" i="3"/>
  <c r="A46" i="3"/>
  <c r="I45" i="3"/>
  <c r="J45" i="3" s="1"/>
  <c r="H45" i="3"/>
  <c r="G45" i="3"/>
  <c r="B45" i="3"/>
  <c r="A45" i="3"/>
  <c r="I44" i="3"/>
  <c r="J44" i="3" s="1"/>
  <c r="H44" i="3"/>
  <c r="G44" i="3"/>
  <c r="B44" i="3"/>
  <c r="A44" i="3"/>
  <c r="I43" i="3"/>
  <c r="J43" i="3" s="1"/>
  <c r="H43" i="3"/>
  <c r="G43" i="3"/>
  <c r="B43" i="3"/>
  <c r="A43" i="3"/>
  <c r="J42" i="3"/>
  <c r="I42" i="3"/>
  <c r="H42" i="3"/>
  <c r="G42" i="3"/>
  <c r="B42" i="3"/>
  <c r="A42" i="3"/>
  <c r="I41" i="3"/>
  <c r="J41" i="3" s="1"/>
  <c r="H41" i="3"/>
  <c r="G41" i="3"/>
  <c r="B41" i="3"/>
  <c r="A41" i="3"/>
  <c r="J40" i="3"/>
  <c r="I40" i="3"/>
  <c r="H40" i="3"/>
  <c r="G40" i="3"/>
  <c r="B40" i="3"/>
  <c r="A40" i="3"/>
  <c r="I39" i="3"/>
  <c r="J39" i="3" s="1"/>
  <c r="H39" i="3"/>
  <c r="G39" i="3"/>
  <c r="B39" i="3"/>
  <c r="A39" i="3"/>
  <c r="I38" i="3"/>
  <c r="J38" i="3" s="1"/>
  <c r="H38" i="3"/>
  <c r="G38" i="3"/>
  <c r="B38" i="3"/>
  <c r="A38" i="3"/>
  <c r="I37" i="3"/>
  <c r="J37" i="3" s="1"/>
  <c r="H37" i="3"/>
  <c r="G37" i="3"/>
  <c r="B37" i="3"/>
  <c r="A37" i="3"/>
  <c r="I36" i="3"/>
  <c r="J36" i="3" s="1"/>
  <c r="H36" i="3"/>
  <c r="G36" i="3"/>
  <c r="B36" i="3"/>
  <c r="A36" i="3"/>
  <c r="I35" i="3"/>
  <c r="J35" i="3" s="1"/>
  <c r="H35" i="3"/>
  <c r="G35" i="3"/>
  <c r="B35" i="3"/>
  <c r="A35" i="3"/>
  <c r="J34" i="3"/>
  <c r="I34" i="3"/>
  <c r="H34" i="3"/>
  <c r="G34" i="3"/>
  <c r="B34" i="3"/>
  <c r="A34" i="3"/>
  <c r="I33" i="3"/>
  <c r="J33" i="3" s="1"/>
  <c r="H33" i="3"/>
  <c r="G33" i="3"/>
  <c r="B33" i="3"/>
  <c r="A33" i="3"/>
  <c r="J32" i="3"/>
  <c r="I32" i="3"/>
  <c r="H32" i="3"/>
  <c r="G32" i="3"/>
  <c r="B32" i="3"/>
  <c r="A32" i="3"/>
  <c r="I31" i="3"/>
  <c r="J31" i="3" s="1"/>
  <c r="H31" i="3"/>
  <c r="G31" i="3"/>
  <c r="B31" i="3"/>
  <c r="A31" i="3"/>
  <c r="I30" i="3"/>
  <c r="J30" i="3" s="1"/>
  <c r="H30" i="3"/>
  <c r="G30" i="3"/>
  <c r="B30" i="3"/>
  <c r="A30" i="3"/>
  <c r="I29" i="3"/>
  <c r="J29" i="3" s="1"/>
  <c r="H29" i="3"/>
  <c r="G29" i="3"/>
  <c r="B29" i="3"/>
  <c r="A29" i="3"/>
  <c r="I28" i="3"/>
  <c r="J28" i="3" s="1"/>
  <c r="H28" i="3"/>
  <c r="G28" i="3"/>
  <c r="B28" i="3"/>
  <c r="A28" i="3"/>
  <c r="I27" i="3"/>
  <c r="J27" i="3" s="1"/>
  <c r="H27" i="3"/>
  <c r="G27" i="3"/>
  <c r="B27" i="3"/>
  <c r="A27" i="3"/>
  <c r="J26" i="3"/>
  <c r="I26" i="3"/>
  <c r="H26" i="3"/>
  <c r="G26" i="3"/>
  <c r="B26" i="3"/>
  <c r="A26" i="3"/>
  <c r="I25" i="3"/>
  <c r="J25" i="3" s="1"/>
  <c r="H25" i="3"/>
  <c r="G25" i="3"/>
  <c r="B25" i="3"/>
  <c r="A25" i="3"/>
  <c r="J24" i="3"/>
  <c r="I24" i="3"/>
  <c r="H24" i="3"/>
  <c r="G24" i="3"/>
  <c r="B24" i="3"/>
  <c r="A24" i="3"/>
  <c r="I23" i="3"/>
  <c r="J23" i="3" s="1"/>
  <c r="H23" i="3"/>
  <c r="G23" i="3"/>
  <c r="B23" i="3"/>
  <c r="A23" i="3"/>
  <c r="I22" i="3"/>
  <c r="J22" i="3" s="1"/>
  <c r="H22" i="3"/>
  <c r="G22" i="3"/>
  <c r="B22" i="3"/>
  <c r="A22" i="3"/>
  <c r="I21" i="3"/>
  <c r="J21" i="3" s="1"/>
  <c r="H21" i="3"/>
  <c r="G21" i="3"/>
  <c r="B21" i="3"/>
  <c r="A21" i="3"/>
  <c r="I20" i="3"/>
  <c r="J20" i="3" s="1"/>
  <c r="H20" i="3"/>
  <c r="G20" i="3"/>
  <c r="B20" i="3"/>
  <c r="A20" i="3"/>
  <c r="I19" i="3"/>
  <c r="J19" i="3" s="1"/>
  <c r="H19" i="3"/>
  <c r="G19" i="3"/>
  <c r="B19" i="3"/>
  <c r="A19" i="3"/>
  <c r="J18" i="3"/>
  <c r="I18" i="3"/>
  <c r="H18" i="3"/>
  <c r="G18" i="3"/>
  <c r="B18" i="3"/>
  <c r="A18" i="3"/>
  <c r="I17" i="3"/>
  <c r="J17" i="3" s="1"/>
  <c r="H17" i="3"/>
  <c r="G17" i="3"/>
  <c r="B17" i="3"/>
  <c r="A17" i="3"/>
  <c r="J16" i="3"/>
  <c r="I16" i="3"/>
  <c r="H16" i="3"/>
  <c r="G16" i="3"/>
  <c r="B16" i="3"/>
  <c r="A16" i="3"/>
  <c r="I15" i="3"/>
  <c r="J15" i="3" s="1"/>
  <c r="H15" i="3"/>
  <c r="G15" i="3"/>
  <c r="B15" i="3"/>
  <c r="A15" i="3"/>
  <c r="I14" i="3"/>
  <c r="J14" i="3" s="1"/>
  <c r="H14" i="3"/>
  <c r="G14" i="3"/>
  <c r="B14" i="3"/>
  <c r="A14" i="3"/>
  <c r="I13" i="3"/>
  <c r="J13" i="3" s="1"/>
  <c r="H13" i="3"/>
  <c r="G13" i="3"/>
  <c r="B13" i="3"/>
  <c r="A13" i="3"/>
  <c r="I12" i="3"/>
  <c r="J12" i="3" s="1"/>
  <c r="H12" i="3"/>
  <c r="G12" i="3"/>
  <c r="B12" i="3"/>
  <c r="A12" i="3"/>
  <c r="I11" i="3"/>
  <c r="J11" i="3" s="1"/>
  <c r="H11" i="3"/>
  <c r="G11" i="3"/>
  <c r="B11" i="3"/>
  <c r="A11" i="3"/>
  <c r="J10" i="3"/>
  <c r="I10" i="3"/>
  <c r="H10" i="3"/>
  <c r="G10" i="3"/>
  <c r="B10" i="3"/>
  <c r="A10" i="3"/>
  <c r="I9" i="3"/>
  <c r="J9" i="3" s="1"/>
  <c r="H9" i="3"/>
  <c r="G9" i="3"/>
  <c r="B9" i="3"/>
  <c r="A9" i="3"/>
  <c r="J8" i="3"/>
  <c r="I8" i="3"/>
  <c r="H8" i="3"/>
  <c r="G8" i="3"/>
  <c r="B8" i="3"/>
  <c r="A8" i="3"/>
  <c r="I7" i="3"/>
  <c r="J7" i="3" s="1"/>
  <c r="H7" i="3"/>
  <c r="G7" i="3"/>
  <c r="B7" i="3"/>
  <c r="A7" i="3"/>
  <c r="I6" i="3"/>
  <c r="J6" i="3" s="1"/>
  <c r="H6" i="3"/>
  <c r="G6" i="3"/>
  <c r="B6" i="3"/>
  <c r="A6" i="3"/>
  <c r="I5" i="3"/>
  <c r="J5" i="3" s="1"/>
  <c r="H5" i="3"/>
  <c r="G5" i="3"/>
  <c r="B5" i="3"/>
  <c r="A5" i="3"/>
  <c r="I4" i="3"/>
  <c r="J4" i="3" s="1"/>
  <c r="H4" i="3"/>
  <c r="G4" i="3"/>
  <c r="B4" i="3"/>
  <c r="A4" i="3"/>
  <c r="I3" i="3"/>
  <c r="J3" i="3" s="1"/>
  <c r="H3" i="3"/>
  <c r="G3" i="3"/>
  <c r="B3" i="3"/>
  <c r="A3" i="3"/>
  <c r="J2" i="3"/>
  <c r="I2" i="3"/>
  <c r="H2" i="3"/>
  <c r="G2" i="3"/>
  <c r="B2" i="3"/>
  <c r="A2" i="3"/>
  <c r="C6" i="7" l="1"/>
  <c r="B13" i="7"/>
  <c r="C12" i="7"/>
  <c r="C7" i="7"/>
  <c r="B23" i="7" l="1"/>
  <c r="C10" i="7"/>
  <c r="C9" i="7"/>
  <c r="C5" i="7"/>
  <c r="C11" i="7"/>
  <c r="C8" i="7"/>
  <c r="C1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000-000001000000}">
      <text>
        <r>
          <rPr>
            <sz val="10"/>
            <rFont val="Arial"/>
            <family val="2"/>
          </rPr>
          <t>Papier couché brillant 130 g
Unité : feuille A0</t>
        </r>
      </text>
    </comment>
    <comment ref="F1" authorId="0" shapeId="0" xr:uid="{00000000-0006-0000-0000-000002000000}">
      <text>
        <r>
          <rPr>
            <sz val="10"/>
            <rFont val="Arial"/>
            <family val="2"/>
          </rPr>
          <t>Papier couché brillant 170 g
Unité : feuille A0</t>
        </r>
      </text>
    </comment>
    <comment ref="G1" authorId="0" shapeId="0" xr:uid="{00000000-0006-0000-0000-000003000000}">
      <text>
        <r>
          <rPr>
            <sz val="10"/>
            <rFont val="Arial"/>
            <family val="2"/>
          </rPr>
          <t>Papier couché mat 250 g
Unité : feuille A0</t>
        </r>
      </text>
    </comment>
    <comment ref="H1" authorId="0" shapeId="0" xr:uid="{00000000-0006-0000-0000-000004000000}">
      <text>
        <r>
          <rPr>
            <sz val="10"/>
            <rFont val="Arial"/>
            <family val="2"/>
          </rPr>
          <t>Papier couché mat 300 g
Unité : feuille A0</t>
        </r>
      </text>
    </comment>
    <comment ref="I1" authorId="0" shapeId="0" xr:uid="{00000000-0006-0000-0000-000005000000}">
      <text>
        <r>
          <rPr>
            <sz val="10"/>
            <rFont val="Arial"/>
            <family val="2"/>
          </rPr>
          <t>Papier offset 80 g
Unité : feuille A0</t>
        </r>
      </text>
    </comment>
    <comment ref="J1" authorId="0" shapeId="0" xr:uid="{00000000-0006-0000-0000-000006000000}">
      <text>
        <r>
          <rPr>
            <sz val="10"/>
            <rFont val="Arial"/>
            <family val="2"/>
          </rPr>
          <t>Papier offset 120 g
Unité : feuille A0</t>
        </r>
      </text>
    </comment>
    <comment ref="K1" authorId="0" shapeId="0" xr:uid="{00000000-0006-0000-0000-000007000000}">
      <text>
        <r>
          <rPr>
            <sz val="10"/>
            <rFont val="Arial"/>
            <family val="2"/>
          </rPr>
          <t>Carton couché 350 g
Unité : feuille A0</t>
        </r>
      </text>
    </comment>
    <comment ref="L1" authorId="0" shapeId="0" xr:uid="{00000000-0006-0000-0000-000008000000}">
      <text>
        <r>
          <rPr>
            <sz val="10"/>
            <rFont val="Arial"/>
            <family val="2"/>
          </rPr>
          <t>Papier adhésif couché brillant
Unité : feuille A0</t>
        </r>
      </text>
    </comment>
    <comment ref="M1" authorId="0" shapeId="0" xr:uid="{00000000-0006-0000-0000-000009000000}">
      <text>
        <r>
          <rPr>
            <sz val="10"/>
            <rFont val="Arial"/>
            <family val="2"/>
          </rPr>
          <t>Papier création texturé 300 g
Unité : feuille A0</t>
        </r>
      </text>
    </comment>
    <comment ref="N1" authorId="0" shapeId="0" xr:uid="{00000000-0006-0000-0000-00000A000000}">
      <text>
        <r>
          <rPr>
            <sz val="10"/>
            <rFont val="Arial"/>
            <family val="2"/>
          </rPr>
          <t>Bâche frontlit 440 g – laize 3,20 m
Unité : ml</t>
        </r>
      </text>
    </comment>
    <comment ref="O1" authorId="0" shapeId="0" xr:uid="{00000000-0006-0000-0000-00000B000000}">
      <text>
        <r>
          <rPr>
            <sz val="10"/>
            <rFont val="Arial"/>
            <family val="2"/>
          </rPr>
          <t>Vinyle adhésif blanc – laize 1,37 m
Unité : ml</t>
        </r>
      </text>
    </comment>
    <comment ref="P1" authorId="0" shapeId="0" xr:uid="{00000000-0006-0000-0000-00000C000000}">
      <text>
        <r>
          <rPr>
            <sz val="10"/>
            <rFont val="Arial"/>
            <family val="2"/>
          </rPr>
          <t>Vinyle microperforé (vitrophanie) – laize 1,37 m
Unité : ml</t>
        </r>
      </text>
    </comment>
    <comment ref="Q1" authorId="0" shapeId="0" xr:uid="{00000000-0006-0000-0000-00000D000000}">
      <text>
        <r>
          <rPr>
            <sz val="10"/>
            <rFont val="Arial"/>
            <family val="2"/>
          </rPr>
          <t>Papier affiche 150 g – laize 1,07 m
Unité : ml</t>
        </r>
      </text>
    </comment>
    <comment ref="R1" authorId="0" shapeId="0" xr:uid="{00000000-0006-0000-0000-00000E000000}">
      <text>
        <r>
          <rPr>
            <sz val="10"/>
            <rFont val="Arial"/>
            <family val="2"/>
          </rPr>
          <t>Toile PET roll-up / kakémono – laize 0,91 m
Unité : ml</t>
        </r>
      </text>
    </comment>
    <comment ref="S1" authorId="0" shapeId="0" xr:uid="{00000000-0006-0000-0000-00000F000000}">
      <text>
        <r>
          <rPr>
            <sz val="10"/>
            <rFont val="Arial"/>
            <family val="2"/>
          </rPr>
          <t>Tissu polyester (banderole, drapeau) – laize 1,60 m
Unité : ml</t>
        </r>
      </text>
    </comment>
    <comment ref="T1" authorId="0" shapeId="0" xr:uid="{00000000-0006-0000-0000-000010000000}">
      <text>
        <r>
          <rPr>
            <sz val="10"/>
            <rFont val="Arial"/>
            <family val="2"/>
          </rPr>
          <t>T-shirt coton blanc vierge
Unité : pièce</t>
        </r>
      </text>
    </comment>
    <comment ref="U1" authorId="0" shapeId="0" xr:uid="{00000000-0006-0000-0000-000011000000}">
      <text>
        <r>
          <rPr>
            <sz val="10"/>
            <rFont val="Arial"/>
            <family val="2"/>
          </rPr>
          <t>T-shirt coton couleur vierge
Unité : pièce</t>
        </r>
      </text>
    </comment>
    <comment ref="V1" authorId="0" shapeId="0" xr:uid="{00000000-0006-0000-0000-000012000000}">
      <text>
        <r>
          <rPr>
            <sz val="10"/>
            <rFont val="Arial"/>
            <family val="2"/>
          </rPr>
          <t>Polo piqué vierge
Unité : pièce</t>
        </r>
      </text>
    </comment>
    <comment ref="W1" authorId="0" shapeId="0" xr:uid="{00000000-0006-0000-0000-000013000000}">
      <text>
        <r>
          <rPr>
            <sz val="10"/>
            <rFont val="Arial"/>
            <family val="2"/>
          </rPr>
          <t>Casquette vierge
Unité : pièce</t>
        </r>
      </text>
    </comment>
    <comment ref="X1" authorId="0" shapeId="0" xr:uid="{00000000-0006-0000-0000-000014000000}">
      <text>
        <r>
          <rPr>
            <sz val="10"/>
            <rFont val="Arial"/>
            <family val="2"/>
          </rPr>
          <t>T-shirt polyester blanc sublimable
Unité : pièce</t>
        </r>
      </text>
    </comment>
    <comment ref="Y1" authorId="0" shapeId="0" xr:uid="{00000000-0006-0000-0000-000015000000}">
      <text>
        <r>
          <rPr>
            <sz val="10"/>
            <rFont val="Arial"/>
            <family val="2"/>
          </rPr>
          <t>Support cuir synthétique prédécoupé
Unité : pièce</t>
        </r>
      </text>
    </comment>
    <comment ref="Z1" authorId="0" shapeId="0" xr:uid="{00000000-0006-0000-0000-000016000000}">
      <text>
        <r>
          <rPr>
            <sz val="10"/>
            <rFont val="Arial"/>
            <family val="2"/>
          </rPr>
          <t>Stylo plastique vierge
Unité : pièce</t>
        </r>
      </text>
    </comment>
    <comment ref="AA1" authorId="0" shapeId="0" xr:uid="{00000000-0006-0000-0000-000017000000}">
      <text>
        <r>
          <rPr>
            <sz val="10"/>
            <rFont val="Arial"/>
            <family val="2"/>
          </rPr>
          <t>Mug céramique blanc sublimable 11 oz
Unité : pièce</t>
        </r>
      </text>
    </comment>
    <comment ref="AB1" authorId="0" shapeId="0" xr:uid="{00000000-0006-0000-0000-000018000000}">
      <text>
        <r>
          <rPr>
            <sz val="10"/>
            <rFont val="Arial"/>
            <family val="2"/>
          </rPr>
          <t>Gourde aluminium sublimable 500 ml
Unité : pièce</t>
        </r>
      </text>
    </comment>
    <comment ref="AC1" authorId="0" shapeId="0" xr:uid="{00000000-0006-0000-0000-000019000000}">
      <text>
        <r>
          <rPr>
            <sz val="10"/>
            <rFont val="Arial"/>
            <family val="2"/>
          </rPr>
          <t>Bracelet silicone vierge
Unité : pièce</t>
        </r>
      </text>
    </comment>
    <comment ref="AD1" authorId="0" shapeId="0" xr:uid="{00000000-0006-0000-0000-00001A000000}">
      <text>
        <r>
          <rPr>
            <sz val="10"/>
            <rFont val="Arial"/>
            <family val="2"/>
          </rPr>
          <t>Sac cabas coton (tote bag) vierge
Unité : pièce</t>
        </r>
      </text>
    </comment>
    <comment ref="AE1" authorId="0" shapeId="0" xr:uid="{00000000-0006-0000-0000-00001B000000}">
      <text>
        <r>
          <rPr>
            <sz val="10"/>
            <rFont val="Arial"/>
            <family val="2"/>
          </rPr>
          <t>Enveloppe blanche DL 110×220
Unité : pièce</t>
        </r>
      </text>
    </comment>
    <comment ref="AF1" authorId="0" shapeId="0" xr:uid="{00000000-0006-0000-0000-00001C000000}">
      <text>
        <r>
          <rPr>
            <sz val="10"/>
            <rFont val="Arial"/>
            <family val="2"/>
          </rPr>
          <t>Sachet kraft vierge
Unité : pièce</t>
        </r>
      </text>
    </comment>
    <comment ref="AG1" authorId="0" shapeId="0" xr:uid="{00000000-0006-0000-0000-00001D000000}">
      <text>
        <r>
          <rPr>
            <sz val="10"/>
            <rFont val="Arial"/>
            <family val="2"/>
          </rPr>
          <t>Spirale métallique
Unité : pièce</t>
        </r>
      </text>
    </comment>
    <comment ref="AH1" authorId="0" shapeId="0" xr:uid="{00000000-0006-0000-0000-00001E000000}">
      <text>
        <r>
          <rPr>
            <sz val="10"/>
            <rFont val="Arial"/>
            <family val="2"/>
          </rPr>
          <t>Colle hotmelt dos carré collé
Unité : kg</t>
        </r>
      </text>
    </comment>
    <comment ref="AI1" authorId="0" shapeId="0" xr:uid="{00000000-0006-0000-0000-00001F000000}">
      <text>
        <r>
          <rPr>
            <sz val="10"/>
            <rFont val="Arial"/>
            <family val="2"/>
          </rPr>
          <t>Agrafes piqûre à cheval
Unité : pièce</t>
        </r>
      </text>
    </comment>
    <comment ref="AJ1" authorId="0" shapeId="0" xr:uid="{00000000-0006-0000-0000-000020000000}">
      <text>
        <r>
          <rPr>
            <sz val="10"/>
            <rFont val="Arial"/>
            <family val="2"/>
          </rPr>
          <t>Couverture transparente (rhodoïd) A4
Unité : pièce</t>
        </r>
      </text>
    </comment>
    <comment ref="AK1" authorId="0" shapeId="0" xr:uid="{00000000-0006-0000-0000-000021000000}">
      <text>
        <r>
          <rPr>
            <sz val="10"/>
            <rFont val="Arial"/>
            <family val="2"/>
          </rPr>
          <t>Film de pelliculage mat – laize 0,33 m
Unité : ml</t>
        </r>
      </text>
    </comment>
    <comment ref="AL1" authorId="0" shapeId="0" xr:uid="{00000000-0006-0000-0000-000022000000}">
      <text>
        <r>
          <rPr>
            <sz val="10"/>
            <rFont val="Arial"/>
            <family val="2"/>
          </rPr>
          <t>Film de pelliculage brillant – laize 0,33 m
Unité : ml</t>
        </r>
      </text>
    </comment>
    <comment ref="AM1" authorId="0" shapeId="0" xr:uid="{00000000-0006-0000-0000-000023000000}">
      <text>
        <r>
          <rPr>
            <sz val="10"/>
            <rFont val="Arial"/>
            <family val="2"/>
          </rPr>
          <t>Œillets métalliques
Unité : pièce</t>
        </r>
      </text>
    </comment>
    <comment ref="AN1" authorId="0" shapeId="0" xr:uid="{00000000-0006-0000-0000-000024000000}">
      <text>
        <r>
          <rPr>
            <sz val="10"/>
            <rFont val="Arial"/>
            <family val="2"/>
          </rPr>
          <t>Cassette roll-up (structure + sac)
Unité : pièce</t>
        </r>
      </text>
    </comment>
    <comment ref="AO1" authorId="0" shapeId="0" xr:uid="{00000000-0006-0000-0000-000025000000}">
      <text>
        <r>
          <rPr>
            <sz val="10"/>
            <rFont val="Arial"/>
            <family val="2"/>
          </rPr>
          <t>Baguettes aluminium kakémono (paire)
Unité : paire</t>
        </r>
      </text>
    </comment>
    <comment ref="AP1" authorId="0" shapeId="0" xr:uid="{00000000-0006-0000-0000-000026000000}">
      <text>
        <r>
          <rPr>
            <sz val="10"/>
            <rFont val="Arial"/>
            <family val="2"/>
          </rPr>
          <t>Plaque offset (prestataire Aziz)
Unité : pièce</t>
        </r>
      </text>
    </comment>
    <comment ref="AQ1" authorId="0" shapeId="0" xr:uid="{00000000-0006-0000-0000-000027000000}">
      <text>
        <r>
          <rPr>
            <sz val="10"/>
            <rFont val="Arial"/>
            <family val="2"/>
          </rPr>
          <t>Encre HP Indigo ElectroInk (CMJN)
Unité : ml</t>
        </r>
      </text>
    </comment>
    <comment ref="AR1" authorId="0" shapeId="0" xr:uid="{00000000-0006-0000-0000-000028000000}">
      <text>
        <r>
          <rPr>
            <sz val="10"/>
            <rFont val="Arial"/>
            <family val="2"/>
          </rPr>
          <t>Encre grand format éco-solvant (CMJN)
Unité : ml</t>
        </r>
      </text>
    </comment>
    <comment ref="AS1" authorId="0" shapeId="0" xr:uid="{00000000-0006-0000-0000-000029000000}">
      <text>
        <r>
          <rPr>
            <sz val="10"/>
            <rFont val="Arial"/>
            <family val="2"/>
          </rPr>
          <t>Encre offset (CMJN)
Unité : g</t>
        </r>
      </text>
    </comment>
    <comment ref="AT1" authorId="0" shapeId="0" xr:uid="{00000000-0006-0000-0000-00002A000000}">
      <text>
        <r>
          <rPr>
            <sz val="10"/>
            <rFont val="Arial"/>
            <family val="2"/>
          </rPr>
          <t>Encre sérigraphique plastisol
Unité : g</t>
        </r>
      </text>
    </comment>
    <comment ref="AU1" authorId="0" shapeId="0" xr:uid="{00000000-0006-0000-0000-00002B000000}">
      <text>
        <r>
          <rPr>
            <sz val="10"/>
            <rFont val="Arial"/>
            <family val="2"/>
          </rPr>
          <t>Émulsion photosensible sérigraphie
Unité : ml</t>
        </r>
      </text>
    </comment>
    <comment ref="AV1" authorId="0" shapeId="0" xr:uid="{00000000-0006-0000-0000-00002C000000}">
      <text>
        <r>
          <rPr>
            <sz val="10"/>
            <rFont val="Arial"/>
            <family val="2"/>
          </rPr>
          <t>Film DTF – laize 0,60 m
Unité : ml</t>
        </r>
      </text>
    </comment>
    <comment ref="AW1" authorId="0" shapeId="0" xr:uid="{00000000-0006-0000-0000-00002D000000}">
      <text>
        <r>
          <rPr>
            <sz val="10"/>
            <rFont val="Arial"/>
            <family val="2"/>
          </rPr>
          <t>Encre DTF (CMJN + blanc)
Unité : ml</t>
        </r>
      </text>
    </comment>
    <comment ref="AX1" authorId="0" shapeId="0" xr:uid="{00000000-0006-0000-0000-00002E000000}">
      <text>
        <r>
          <rPr>
            <sz val="10"/>
            <rFont val="Arial"/>
            <family val="2"/>
          </rPr>
          <t>Poudre adhésive DTF
Unité : g</t>
        </r>
      </text>
    </comment>
    <comment ref="AY1" authorId="0" shapeId="0" xr:uid="{00000000-0006-0000-0000-00002F000000}">
      <text>
        <r>
          <rPr>
            <sz val="10"/>
            <rFont val="Arial"/>
            <family val="2"/>
          </rPr>
          <t>Papier de sublimation – laize 1,10 m
Unité : ml</t>
        </r>
      </text>
    </comment>
    <comment ref="AZ1" authorId="0" shapeId="0" xr:uid="{00000000-0006-0000-0000-000030000000}">
      <text>
        <r>
          <rPr>
            <sz val="10"/>
            <rFont val="Arial"/>
            <family val="2"/>
          </rPr>
          <t>Encre sublimation (CMJN)
Unité : ml</t>
        </r>
      </text>
    </comment>
    <comment ref="BA1" authorId="0" shapeId="0" xr:uid="{00000000-0006-0000-0000-000031000000}">
      <text>
        <r>
          <rPr>
            <sz val="10"/>
            <rFont val="Arial"/>
            <family val="2"/>
          </rPr>
          <t>Vernis sélectif Jet Varnish
Unité : ml</t>
        </r>
      </text>
    </comment>
    <comment ref="BB1" authorId="0" shapeId="0" xr:uid="{00000000-0006-0000-0000-000032000000}">
      <text>
        <r>
          <rPr>
            <sz val="10"/>
            <rFont val="Arial"/>
            <family val="2"/>
          </rPr>
          <t>Solution de mouillage offset
Unité : ml</t>
        </r>
      </text>
    </comment>
    <comment ref="BC1" authorId="0" shapeId="0" xr:uid="{00000000-0006-0000-0000-000033000000}">
      <text>
        <r>
          <rPr>
            <sz val="10"/>
            <rFont val="Arial"/>
            <family val="2"/>
          </rPr>
          <t>HP Indigo – presse numérique feuille
Site : Siège
Unité : secondes</t>
        </r>
      </text>
    </comment>
    <comment ref="BD1" authorId="0" shapeId="0" xr:uid="{00000000-0006-0000-0000-000034000000}">
      <text>
        <r>
          <rPr>
            <sz val="10"/>
            <rFont val="Arial"/>
            <family val="2"/>
          </rPr>
          <t>Presstek DI – offset numérique waterless
Site : Siège
Unité : secondes</t>
        </r>
      </text>
    </comment>
    <comment ref="BE1" authorId="0" shapeId="0" xr:uid="{00000000-0006-0000-0000-000035000000}">
      <text>
        <r>
          <rPr>
            <sz val="10"/>
            <rFont val="Arial"/>
            <family val="2"/>
          </rPr>
          <t>Imprimante DTF
Site : Siège
Unité : secondes</t>
        </r>
      </text>
    </comment>
    <comment ref="BF1" authorId="0" shapeId="0" xr:uid="{00000000-0006-0000-0000-000036000000}">
      <text>
        <r>
          <rPr>
            <sz val="10"/>
            <rFont val="Arial"/>
            <family val="2"/>
          </rPr>
          <t>Poudreuse / four DTF
Site : Siège
Unité : secondes</t>
        </r>
      </text>
    </comment>
    <comment ref="BG1" authorId="0" shapeId="0" xr:uid="{00000000-0006-0000-0000-000037000000}">
      <text>
        <r>
          <rPr>
            <sz val="10"/>
            <rFont val="Arial"/>
            <family val="2"/>
          </rPr>
          <t>Presse à chaud plate
Site : Siège
Unité : secondes</t>
        </r>
      </text>
    </comment>
    <comment ref="BH1" authorId="0" shapeId="0" xr:uid="{00000000-0006-0000-0000-000038000000}">
      <text>
        <r>
          <rPr>
            <sz val="10"/>
            <rFont val="Arial"/>
            <family val="2"/>
          </rPr>
          <t>Imprimante sublimation
Site : Siège
Unité : secondes</t>
        </r>
      </text>
    </comment>
    <comment ref="BI1" authorId="0" shapeId="0" xr:uid="{00000000-0006-0000-0000-000039000000}">
      <text>
        <r>
          <rPr>
            <sz val="10"/>
            <rFont val="Arial"/>
            <family val="2"/>
          </rPr>
          <t>Presse à mug / objets cylindriques
Site : Siège
Unité : secondes</t>
        </r>
      </text>
    </comment>
    <comment ref="BJ1" authorId="0" shapeId="0" xr:uid="{00000000-0006-0000-0000-00003A000000}">
      <text>
        <r>
          <rPr>
            <sz val="10"/>
            <rFont val="Arial"/>
            <family val="2"/>
          </rPr>
          <t>Carrousel / table de sérigraphie
Site : Siège
Unité : secondes</t>
        </r>
      </text>
    </comment>
    <comment ref="BK1" authorId="0" shapeId="0" xr:uid="{00000000-0006-0000-0000-00003B000000}">
      <text>
        <r>
          <rPr>
            <sz val="10"/>
            <rFont val="Arial"/>
            <family val="2"/>
          </rPr>
          <t>Insoleuse
Site : Siège
Unité : secondes</t>
        </r>
      </text>
    </comment>
    <comment ref="BL1" authorId="0" shapeId="0" xr:uid="{00000000-0006-0000-0000-00003C000000}">
      <text>
        <r>
          <rPr>
            <sz val="10"/>
            <rFont val="Arial"/>
            <family val="2"/>
          </rPr>
          <t>Tunnel de séchage
Site : Siège
Unité : secondes</t>
        </r>
      </text>
    </comment>
    <comment ref="BM1" authorId="0" shapeId="0" xr:uid="{00000000-0006-0000-0000-00003D000000}">
      <text>
        <r>
          <rPr>
            <sz val="10"/>
            <rFont val="Arial"/>
            <family val="2"/>
          </rPr>
          <t>Massicot
Site : Siège
Unité : secondes</t>
        </r>
      </text>
    </comment>
    <comment ref="BN1" authorId="0" shapeId="0" xr:uid="{00000000-0006-0000-0000-00003E000000}">
      <text>
        <r>
          <rPr>
            <sz val="10"/>
            <rFont val="Arial"/>
            <family val="2"/>
          </rPr>
          <t>Plieuse / piqueuse
Site : Siège
Unité : secondes</t>
        </r>
      </text>
    </comment>
    <comment ref="BO1" authorId="0" shapeId="0" xr:uid="{00000000-0006-0000-0000-00003F000000}">
      <text>
        <r>
          <rPr>
            <sz val="10"/>
            <rFont val="Arial"/>
            <family val="2"/>
          </rPr>
          <t>Relieuse dos carré collé
Site : Siège
Unité : secondes</t>
        </r>
      </text>
    </comment>
    <comment ref="BP1" authorId="0" shapeId="0" xr:uid="{00000000-0006-0000-0000-000040000000}">
      <text>
        <r>
          <rPr>
            <sz val="10"/>
            <rFont val="Arial"/>
            <family val="2"/>
          </rPr>
          <t>Relieuse spirale (perforelieuse)
Site : Siège
Unité : secondes</t>
        </r>
      </text>
    </comment>
    <comment ref="BQ1" authorId="0" shapeId="0" xr:uid="{00000000-0006-0000-0000-000041000000}">
      <text>
        <r>
          <rPr>
            <sz val="10"/>
            <rFont val="Arial"/>
            <family val="2"/>
          </rPr>
          <t>Pelliculeuse
Site : Siège
Unité : secondes</t>
        </r>
      </text>
    </comment>
    <comment ref="BR1" authorId="0" shapeId="0" xr:uid="{00000000-0006-0000-0000-000042000000}">
      <text>
        <r>
          <rPr>
            <sz val="10"/>
            <rFont val="Arial"/>
            <family val="2"/>
          </rPr>
          <t>Plotter de découpe
Site : Siège
Unité : secondes</t>
        </r>
      </text>
    </comment>
    <comment ref="BS1" authorId="0" shapeId="0" xr:uid="{00000000-0006-0000-0000-000043000000}">
      <text>
        <r>
          <rPr>
            <sz val="10"/>
            <rFont val="Arial"/>
            <family val="2"/>
          </rPr>
          <t>Jet Varnish – vernis sélectif
Site : Siège
Unité : secondes</t>
        </r>
      </text>
    </comment>
    <comment ref="BT1" authorId="0" shapeId="0" xr:uid="{00000000-0006-0000-0000-000044000000}">
      <text>
        <r>
          <rPr>
            <sz val="10"/>
            <rFont val="Arial"/>
            <family val="2"/>
          </rPr>
          <t>Imprimante grand format
Site : Angré
Unité : secondes</t>
        </r>
      </text>
    </comment>
    <comment ref="BU1" authorId="0" shapeId="0" xr:uid="{00000000-0006-0000-0000-000045000000}">
      <text>
        <r>
          <rPr>
            <sz val="10"/>
            <rFont val="Arial"/>
            <family val="2"/>
          </rPr>
          <t>Presse offset
Site : Angré
Unité : secondes</t>
        </r>
      </text>
    </comment>
    <comment ref="BV1" authorId="0" shapeId="0" xr:uid="{00000000-0006-0000-0000-000046000000}">
      <text>
        <r>
          <rPr>
            <sz val="10"/>
            <rFont val="Arial"/>
            <family val="2"/>
          </rPr>
          <t>Poste finition grand format (œilletonneuse / soudeuse)
Site : Angré
Unité : secondes</t>
        </r>
      </text>
    </comment>
  </commentList>
</comments>
</file>

<file path=xl/sharedStrings.xml><?xml version="1.0" encoding="utf-8"?>
<sst xmlns="http://schemas.openxmlformats.org/spreadsheetml/2006/main" count="3018" uniqueCount="1030">
  <si>
    <t>ID_ARTICLES</t>
  </si>
  <si>
    <t xml:space="preserve">DESIGNATION </t>
  </si>
  <si>
    <t>NATURE</t>
  </si>
  <si>
    <t>CATEGORIE</t>
  </si>
  <si>
    <t>IMPUT1</t>
  </si>
  <si>
    <t>IMPUT2</t>
  </si>
  <si>
    <t>IMPUT3</t>
  </si>
  <si>
    <t>IMPUT4</t>
  </si>
  <si>
    <t>IMPUT5</t>
  </si>
  <si>
    <t>IMPUT6</t>
  </si>
  <si>
    <t>IMPUT7</t>
  </si>
  <si>
    <t>IMPUT8</t>
  </si>
  <si>
    <t>IMPUT9</t>
  </si>
  <si>
    <t>IMPUT10</t>
  </si>
  <si>
    <t>IMPUT11</t>
  </si>
  <si>
    <t>IMPUT12</t>
  </si>
  <si>
    <t>IMPUT13</t>
  </si>
  <si>
    <t>IMPUT14</t>
  </si>
  <si>
    <t>IMPUT15</t>
  </si>
  <si>
    <t>IMPUT16</t>
  </si>
  <si>
    <t>IMPUT17</t>
  </si>
  <si>
    <t>IMPUT18</t>
  </si>
  <si>
    <t>IMPUT19</t>
  </si>
  <si>
    <t>IMPUT20</t>
  </si>
  <si>
    <t>IMPUT21</t>
  </si>
  <si>
    <t>IMPUT22</t>
  </si>
  <si>
    <t>IMPUT23</t>
  </si>
  <si>
    <t>IMPUT24</t>
  </si>
  <si>
    <t>IMPUT25</t>
  </si>
  <si>
    <t>IMPUT26</t>
  </si>
  <si>
    <t>IMPUT27</t>
  </si>
  <si>
    <t>IMPUT28</t>
  </si>
  <si>
    <t>IMPUT29</t>
  </si>
  <si>
    <t>IMPUT30</t>
  </si>
  <si>
    <t>IMPUT31</t>
  </si>
  <si>
    <t>IMPUT32</t>
  </si>
  <si>
    <t>IMPUT33</t>
  </si>
  <si>
    <t>IMPUT34</t>
  </si>
  <si>
    <t>IMPUT35</t>
  </si>
  <si>
    <t>IMPUT36</t>
  </si>
  <si>
    <t>IMPUT37</t>
  </si>
  <si>
    <t>IMPUT38</t>
  </si>
  <si>
    <t>IMPUT39</t>
  </si>
  <si>
    <t>IMPUT40</t>
  </si>
  <si>
    <t>IMPUT41</t>
  </si>
  <si>
    <t>IMPUT42</t>
  </si>
  <si>
    <t>IMPUT43</t>
  </si>
  <si>
    <t>IMPUT44</t>
  </si>
  <si>
    <t>IMPUT45</t>
  </si>
  <si>
    <t>IMPUT46</t>
  </si>
  <si>
    <t>IMPUT47</t>
  </si>
  <si>
    <t>IMPUT48</t>
  </si>
  <si>
    <t>IMPUT49</t>
  </si>
  <si>
    <t>IMPUT50</t>
  </si>
  <si>
    <t>MACH1</t>
  </si>
  <si>
    <t>MACH2</t>
  </si>
  <si>
    <t>MACH3</t>
  </si>
  <si>
    <t>MACH4</t>
  </si>
  <si>
    <t>MACH5</t>
  </si>
  <si>
    <t>MACH6</t>
  </si>
  <si>
    <t>MACH7</t>
  </si>
  <si>
    <t>MACH8</t>
  </si>
  <si>
    <t>MACH9</t>
  </si>
  <si>
    <t>MACH10</t>
  </si>
  <si>
    <t>MACH11</t>
  </si>
  <si>
    <t>MACH12</t>
  </si>
  <si>
    <t>MACH13</t>
  </si>
  <si>
    <t>MACH14</t>
  </si>
  <si>
    <t>MACH15</t>
  </si>
  <si>
    <t>MACH16</t>
  </si>
  <si>
    <t>MACH17</t>
  </si>
  <si>
    <t>MACH18</t>
  </si>
  <si>
    <t>MACH19</t>
  </si>
  <si>
    <t>MACH20</t>
  </si>
  <si>
    <t>ART-0001</t>
  </si>
  <si>
    <t>Carte de visite</t>
  </si>
  <si>
    <t>85×55 recto couché mat 300 g</t>
  </si>
  <si>
    <t>Impression numérique petit format</t>
  </si>
  <si>
    <t>ART-0002</t>
  </si>
  <si>
    <t>85×55 recto couché mat 300 g pelliculage mat</t>
  </si>
  <si>
    <t>ART-0003</t>
  </si>
  <si>
    <t>85×55 recto couché mat 300 g pelliculage brillant</t>
  </si>
  <si>
    <t>ART-0004</t>
  </si>
  <si>
    <t>85×55 recto couché mat 300 g pelliculage mat + vernis sélectif</t>
  </si>
  <si>
    <t>ART-0005</t>
  </si>
  <si>
    <t>85×55 recto-verso couché mat 300 g</t>
  </si>
  <si>
    <t>ART-0006</t>
  </si>
  <si>
    <t>85×55 recto-verso couché mat 300 g pelliculage mat</t>
  </si>
  <si>
    <t>ART-0007</t>
  </si>
  <si>
    <t>85×55 recto-verso couché mat 300 g pelliculage brillant</t>
  </si>
  <si>
    <t>ART-0008</t>
  </si>
  <si>
    <t>85×55 recto-verso couché mat 300 g pelliculage mat + vernis sélectif</t>
  </si>
  <si>
    <t>ART-0009</t>
  </si>
  <si>
    <t>85×55 recto création 300 g</t>
  </si>
  <si>
    <t>ART-0010</t>
  </si>
  <si>
    <t>85×55 recto création 300 g pelliculage mat</t>
  </si>
  <si>
    <t>ART-0011</t>
  </si>
  <si>
    <t>85×55 recto création 300 g pelliculage brillant</t>
  </si>
  <si>
    <t>ART-0012</t>
  </si>
  <si>
    <t>85×55 recto création 300 g pelliculage mat + vernis sélectif</t>
  </si>
  <si>
    <t>ART-0013</t>
  </si>
  <si>
    <t>85×55 recto-verso création 300 g</t>
  </si>
  <si>
    <t>ART-0014</t>
  </si>
  <si>
    <t>85×55 recto-verso création 300 g pelliculage mat</t>
  </si>
  <si>
    <t>ART-0015</t>
  </si>
  <si>
    <t>85×55 recto-verso création 300 g pelliculage brillant</t>
  </si>
  <si>
    <t>ART-0016</t>
  </si>
  <si>
    <t>85×55 recto-verso création 300 g pelliculage mat + vernis sélectif</t>
  </si>
  <si>
    <t>ART-0017</t>
  </si>
  <si>
    <t>Flyer</t>
  </si>
  <si>
    <t>A6 recto couché brillant 130 g</t>
  </si>
  <si>
    <t>ART-0018</t>
  </si>
  <si>
    <t>A6 recto-verso couché brillant 130 g</t>
  </si>
  <si>
    <t>ART-0019</t>
  </si>
  <si>
    <t>A6 recto couché brillant 170 g</t>
  </si>
  <si>
    <t>ART-0020</t>
  </si>
  <si>
    <t>A6 recto-verso couché brillant 170 g</t>
  </si>
  <si>
    <t>ART-0021</t>
  </si>
  <si>
    <t>A6 recto couché mat 250 g</t>
  </si>
  <si>
    <t>ART-0022</t>
  </si>
  <si>
    <t>A6 recto-verso couché mat 250 g</t>
  </si>
  <si>
    <t>ART-0023</t>
  </si>
  <si>
    <t>A5 recto couché brillant 130 g</t>
  </si>
  <si>
    <t>ART-0024</t>
  </si>
  <si>
    <t>A5 recto-verso couché brillant 130 g</t>
  </si>
  <si>
    <t>ART-0025</t>
  </si>
  <si>
    <t>A5 recto couché brillant 170 g</t>
  </si>
  <si>
    <t>ART-0026</t>
  </si>
  <si>
    <t>A5 recto-verso couché brillant 170 g</t>
  </si>
  <si>
    <t>ART-0027</t>
  </si>
  <si>
    <t>A5 recto couché mat 250 g</t>
  </si>
  <si>
    <t>ART-0028</t>
  </si>
  <si>
    <t>A5 recto-verso couché mat 250 g</t>
  </si>
  <si>
    <t>ART-0029</t>
  </si>
  <si>
    <t>A4 recto couché brillant 130 g</t>
  </si>
  <si>
    <t>ART-0030</t>
  </si>
  <si>
    <t>A4 recto-verso couché brillant 130 g</t>
  </si>
  <si>
    <t>ART-0031</t>
  </si>
  <si>
    <t>A4 recto couché brillant 170 g</t>
  </si>
  <si>
    <t>ART-0032</t>
  </si>
  <si>
    <t>A4 recto-verso couché brillant 170 g</t>
  </si>
  <si>
    <t>ART-0033</t>
  </si>
  <si>
    <t>A4 recto couché mat 250 g</t>
  </si>
  <si>
    <t>ART-0034</t>
  </si>
  <si>
    <t>A4 recto-verso couché mat 250 g</t>
  </si>
  <si>
    <t>ART-0035</t>
  </si>
  <si>
    <t>DL recto couché brillant 130 g</t>
  </si>
  <si>
    <t>ART-0036</t>
  </si>
  <si>
    <t>DL recto-verso couché brillant 130 g</t>
  </si>
  <si>
    <t>ART-0037</t>
  </si>
  <si>
    <t>DL recto couché brillant 170 g</t>
  </si>
  <si>
    <t>ART-0038</t>
  </si>
  <si>
    <t>DL recto-verso couché brillant 170 g</t>
  </si>
  <si>
    <t>ART-0039</t>
  </si>
  <si>
    <t>DL recto couché mat 250 g</t>
  </si>
  <si>
    <t>ART-0040</t>
  </si>
  <si>
    <t>DL recto-verso couché mat 250 g</t>
  </si>
  <si>
    <t>ART-0041</t>
  </si>
  <si>
    <t>Dépliant</t>
  </si>
  <si>
    <t>A4 2 volets recto-verso couché brillant 130 g</t>
  </si>
  <si>
    <t>ART-0042</t>
  </si>
  <si>
    <t>A4 2 volets recto-verso couché brillant 170 g</t>
  </si>
  <si>
    <t>ART-0043</t>
  </si>
  <si>
    <t>A4 3 volets recto-verso couché brillant 130 g</t>
  </si>
  <si>
    <t>ART-0044</t>
  </si>
  <si>
    <t>A4 3 volets recto-verso couché brillant 170 g</t>
  </si>
  <si>
    <t>ART-0045</t>
  </si>
  <si>
    <t>A3 2 volets recto-verso couché brillant 130 g</t>
  </si>
  <si>
    <t>ART-0046</t>
  </si>
  <si>
    <t>A3 2 volets recto-verso couché brillant 170 g</t>
  </si>
  <si>
    <t>ART-0047</t>
  </si>
  <si>
    <t>A3 3 volets recto-verso couché brillant 130 g</t>
  </si>
  <si>
    <t>ART-0048</t>
  </si>
  <si>
    <t>A3 3 volets recto-verso couché brillant 170 g</t>
  </si>
  <si>
    <t>ART-0049</t>
  </si>
  <si>
    <t>Affiche</t>
  </si>
  <si>
    <t>A3 recto couché brillant 130 g</t>
  </si>
  <si>
    <t>ART-0050</t>
  </si>
  <si>
    <t>A3 recto couché brillant 170 g</t>
  </si>
  <si>
    <t>ART-0051</t>
  </si>
  <si>
    <t>A3 recto couché mat 250 g</t>
  </si>
  <si>
    <t>ART-0052</t>
  </si>
  <si>
    <t>SRA3 recto couché brillant 130 g</t>
  </si>
  <si>
    <t>ART-0053</t>
  </si>
  <si>
    <t>SRA3 recto couché brillant 170 g</t>
  </si>
  <si>
    <t>ART-0054</t>
  </si>
  <si>
    <t>SRA3 recto couché mat 250 g</t>
  </si>
  <si>
    <t>ART-0055</t>
  </si>
  <si>
    <t>Papier en-tête</t>
  </si>
  <si>
    <t>A4 recto quadri offset 80 g</t>
  </si>
  <si>
    <t>ART-0056</t>
  </si>
  <si>
    <t>A4 recto quadri offset 120 g</t>
  </si>
  <si>
    <t>ART-0057</t>
  </si>
  <si>
    <t>Carte d'invitation</t>
  </si>
  <si>
    <t>A6 recto-verso couché mat 300 g pelliculé</t>
  </si>
  <si>
    <t>ART-0058</t>
  </si>
  <si>
    <t>A6 recto-verso création 300 g vernis sélectif</t>
  </si>
  <si>
    <t>ART-0059</t>
  </si>
  <si>
    <t>carré 15×15 recto-verso couché mat 300 g pelliculé</t>
  </si>
  <si>
    <t>ART-0060</t>
  </si>
  <si>
    <t>carré 15×15 recto-verso création 300 g vernis sélectif</t>
  </si>
  <si>
    <t>ART-0061</t>
  </si>
  <si>
    <t>A5 plié A6 couché mat 300 g pelliculé</t>
  </si>
  <si>
    <t>ART-0062</t>
  </si>
  <si>
    <t>A5 plié A6 création 300 g vernis sélectif</t>
  </si>
  <si>
    <t>ART-0063</t>
  </si>
  <si>
    <t>Menu</t>
  </si>
  <si>
    <t>A4 recto-verso couché mat 300 g pelliculé</t>
  </si>
  <si>
    <t>ART-0064</t>
  </si>
  <si>
    <t>A3 plié A4 couché mat 300 g pelliculé</t>
  </si>
  <si>
    <t>ART-0065</t>
  </si>
  <si>
    <t>Certificat</t>
  </si>
  <si>
    <t>ART-0066</t>
  </si>
  <si>
    <t>A4 recto création 300 g vernis sélectif</t>
  </si>
  <si>
    <t>ART-0067</t>
  </si>
  <si>
    <t>Carte de vœux</t>
  </si>
  <si>
    <t>A6 simple couché mat 300 g</t>
  </si>
  <si>
    <t>ART-0068</t>
  </si>
  <si>
    <t>A6 simple création 300 g</t>
  </si>
  <si>
    <t>ART-0069</t>
  </si>
  <si>
    <t>A5 plié A6 couché mat 300 g</t>
  </si>
  <si>
    <t>ART-0070</t>
  </si>
  <si>
    <t>ART-0071</t>
  </si>
  <si>
    <t>Badge</t>
  </si>
  <si>
    <t>format CR80 carton 350 g pelliculé recto-verso</t>
  </si>
  <si>
    <t>ART-0072</t>
  </si>
  <si>
    <t>A6 pour porte-badge couché mat 250 g</t>
  </si>
  <si>
    <t>ART-0073</t>
  </si>
  <si>
    <t>Marque-page</t>
  </si>
  <si>
    <t>50×200 recto-verso couché mat 300 g pelliculé</t>
  </si>
  <si>
    <t>ART-0074</t>
  </si>
  <si>
    <t>Chevalet de table</t>
  </si>
  <si>
    <t>A4 plié 2 faces carton 350 g pelliculé</t>
  </si>
  <si>
    <t>ART-0075</t>
  </si>
  <si>
    <t>Set de table</t>
  </si>
  <si>
    <t>A3 recto couché mat 250 g pelliculé</t>
  </si>
  <si>
    <t>ART-0076</t>
  </si>
  <si>
    <t>Carte de fidélité</t>
  </si>
  <si>
    <t>format CR80 recto-verso carton 350 g pelliculé</t>
  </si>
  <si>
    <t>ART-0077</t>
  </si>
  <si>
    <t>Brochure</t>
  </si>
  <si>
    <t>A4 8 pages piqûre à cheval, int. couché 130 g, couv. 250 g pelliculée</t>
  </si>
  <si>
    <t>Édition et reliure</t>
  </si>
  <si>
    <t>ART-0078</t>
  </si>
  <si>
    <t>A4 12 pages piqûre à cheval, int. couché 130 g, couv. 250 g pelliculée</t>
  </si>
  <si>
    <t>ART-0079</t>
  </si>
  <si>
    <t>A4 16 pages piqûre à cheval, int. couché 130 g, couv. 250 g pelliculée</t>
  </si>
  <si>
    <t>ART-0080</t>
  </si>
  <si>
    <t>A4 20 pages piqûre à cheval, int. couché 130 g, couv. 250 g pelliculée</t>
  </si>
  <si>
    <t>ART-0081</t>
  </si>
  <si>
    <t>A4 24 pages piqûre à cheval, int. couché 130 g, couv. 250 g pelliculée</t>
  </si>
  <si>
    <t>ART-0082</t>
  </si>
  <si>
    <t>A4 32 pages piqûre à cheval, int. couché 130 g, couv. 250 g pelliculée</t>
  </si>
  <si>
    <t>ART-0083</t>
  </si>
  <si>
    <t>A4 40 pages piqûre à cheval, int. couché 130 g, couv. 250 g pelliculée</t>
  </si>
  <si>
    <t>ART-0084</t>
  </si>
  <si>
    <t>A5 8 pages piqûre à cheval, int. couché 130 g, couv. 250 g pelliculée</t>
  </si>
  <si>
    <t>ART-0085</t>
  </si>
  <si>
    <t>A5 12 pages piqûre à cheval, int. couché 130 g, couv. 250 g pelliculée</t>
  </si>
  <si>
    <t>ART-0086</t>
  </si>
  <si>
    <t>A5 16 pages piqûre à cheval, int. couché 130 g, couv. 250 g pelliculée</t>
  </si>
  <si>
    <t>ART-0087</t>
  </si>
  <si>
    <t>A5 20 pages piqûre à cheval, int. couché 130 g, couv. 250 g pelliculée</t>
  </si>
  <si>
    <t>ART-0088</t>
  </si>
  <si>
    <t>A5 24 pages piqûre à cheval, int. couché 130 g, couv. 250 g pelliculée</t>
  </si>
  <si>
    <t>ART-0089</t>
  </si>
  <si>
    <t>A5 32 pages piqûre à cheval, int. couché 130 g, couv. 250 g pelliculée</t>
  </si>
  <si>
    <t>ART-0090</t>
  </si>
  <si>
    <t>A5 40 pages piqûre à cheval, int. couché 130 g, couv. 250 g pelliculée</t>
  </si>
  <si>
    <t>ART-0091</t>
  </si>
  <si>
    <t>Catalogue</t>
  </si>
  <si>
    <t>A4 40 pages dos carré collé, int. couché 130 g, couv. 300 g pelliculée</t>
  </si>
  <si>
    <t>ART-0092</t>
  </si>
  <si>
    <t>A4 48 pages dos carré collé, int. couché 130 g, couv. 300 g pelliculée</t>
  </si>
  <si>
    <t>ART-0093</t>
  </si>
  <si>
    <t>A4 64 pages dos carré collé, int. couché 130 g, couv. 300 g pelliculée</t>
  </si>
  <si>
    <t>ART-0094</t>
  </si>
  <si>
    <t>A4 80 pages dos carré collé, int. couché 130 g, couv. 300 g pelliculée</t>
  </si>
  <si>
    <t>ART-0095</t>
  </si>
  <si>
    <t>A4 100 pages dos carré collé, int. couché 130 g, couv. 300 g pelliculée</t>
  </si>
  <si>
    <t>ART-0096</t>
  </si>
  <si>
    <t>Livre</t>
  </si>
  <si>
    <t>A5 80 pages dos carré collé, int. offset 80 g N/B, couv. 300 g pelliculée</t>
  </si>
  <si>
    <t>ART-0097</t>
  </si>
  <si>
    <t>A5 100 pages dos carré collé, int. offset 80 g N/B, couv. 300 g pelliculée</t>
  </si>
  <si>
    <t>ART-0098</t>
  </si>
  <si>
    <t>A5 150 pages dos carré collé, int. offset 80 g N/B, couv. 300 g pelliculée</t>
  </si>
  <si>
    <t>ART-0099</t>
  </si>
  <si>
    <t>A5 200 pages dos carré collé, int. offset 80 g N/B, couv. 300 g pelliculée</t>
  </si>
  <si>
    <t>ART-0100</t>
  </si>
  <si>
    <t>A5 250 pages dos carré collé, int. offset 80 g N/B, couv. 300 g pelliculée</t>
  </si>
  <si>
    <t>ART-0101</t>
  </si>
  <si>
    <t>A5 300 pages dos carré collé, int. offset 80 g N/B, couv. 300 g pelliculée</t>
  </si>
  <si>
    <t>ART-0102</t>
  </si>
  <si>
    <t>A4 100 pages dos carré collé, int. couché 130 g quadri, couv. 300 g pelliculée</t>
  </si>
  <si>
    <t>ART-0103</t>
  </si>
  <si>
    <t>A4 150 pages dos carré collé, int. couché 130 g quadri, couv. 300 g pelliculée</t>
  </si>
  <si>
    <t>ART-0104</t>
  </si>
  <si>
    <t>Mémoire</t>
  </si>
  <si>
    <t>A4 60 pages dos carré collé, int. offset 80 g, couv. 300 g pelliculée</t>
  </si>
  <si>
    <t>ART-0105</t>
  </si>
  <si>
    <t>A4 100 pages dos carré collé, int. offset 80 g, couv. 300 g pelliculée</t>
  </si>
  <si>
    <t>ART-0106</t>
  </si>
  <si>
    <t>A4 150 pages dos carré collé, int. offset 80 g, couv. 300 g pelliculée</t>
  </si>
  <si>
    <t>ART-0107</t>
  </si>
  <si>
    <t>Rapport</t>
  </si>
  <si>
    <t>A4 20 pages reliure spirale, offset 80 g, couv. rhodoïd + dos carton</t>
  </si>
  <si>
    <t>ART-0108</t>
  </si>
  <si>
    <t>A4 50 pages reliure spirale, offset 80 g, couv. rhodoïd + dos carton</t>
  </si>
  <si>
    <t>ART-0109</t>
  </si>
  <si>
    <t>A4 100 pages reliure spirale, offset 80 g, couv. rhodoïd + dos carton</t>
  </si>
  <si>
    <t>ART-0110</t>
  </si>
  <si>
    <t>A4 150 pages reliure spirale, offset 80 g, couv. rhodoïd + dos carton</t>
  </si>
  <si>
    <t>ART-0111</t>
  </si>
  <si>
    <t>A5 20 pages reliure spirale, offset 80 g, couv. rhodoïd + dos carton</t>
  </si>
  <si>
    <t>ART-0112</t>
  </si>
  <si>
    <t>A5 50 pages reliure spirale, offset 80 g, couv. rhodoïd + dos carton</t>
  </si>
  <si>
    <t>ART-0113</t>
  </si>
  <si>
    <t>A5 100 pages reliure spirale, offset 80 g, couv. rhodoïd + dos carton</t>
  </si>
  <si>
    <t>ART-0114</t>
  </si>
  <si>
    <t>Calendrier</t>
  </si>
  <si>
    <t>mural A3 13 feuillets couché mat 250 g, spirale</t>
  </si>
  <si>
    <t>ART-0115</t>
  </si>
  <si>
    <t>mural A4 13 feuillets couché mat 250 g, spirale</t>
  </si>
  <si>
    <t>ART-0116</t>
  </si>
  <si>
    <t>de bureau chevalet A5 13 feuillets recto-verso, socle carton 350 g</t>
  </si>
  <si>
    <t>ART-0117</t>
  </si>
  <si>
    <t>Bloc-notes</t>
  </si>
  <si>
    <t>A6 50 feuillets encollés tête, offset 80 g, dos carton</t>
  </si>
  <si>
    <t>ART-0118</t>
  </si>
  <si>
    <t>A5 50 feuillets encollés tête, offset 80 g, dos carton</t>
  </si>
  <si>
    <t>ART-0119</t>
  </si>
  <si>
    <t>A4 50 feuillets encollés tête, offset 80 g, dos carton</t>
  </si>
  <si>
    <t>ART-0120</t>
  </si>
  <si>
    <t>A5 100 feuillets encollés tête, offset 80 g, dos carton</t>
  </si>
  <si>
    <t>ART-0121</t>
  </si>
  <si>
    <t>Carnet</t>
  </si>
  <si>
    <t>A5 100 pages reliure spirale, couv. carton 350 g pelliculée</t>
  </si>
  <si>
    <t>ART-0122</t>
  </si>
  <si>
    <t>Agenda</t>
  </si>
  <si>
    <t>A5 200 pages dos carré collé, couv. 300 g pelliculée</t>
  </si>
  <si>
    <t>ART-0123</t>
  </si>
  <si>
    <t>A5 200 pages dos carré collé, couv. cuir synthétique marquée DTF</t>
  </si>
  <si>
    <t>ART-0124</t>
  </si>
  <si>
    <t>A6 recto-verso quadri couché brillant 130 g – offset</t>
  </si>
  <si>
    <t>Impression offset et Presstek</t>
  </si>
  <si>
    <t>ART-0125</t>
  </si>
  <si>
    <t>A6 recto-verso quadri couché brillant 170 g – offset</t>
  </si>
  <si>
    <t>ART-0126</t>
  </si>
  <si>
    <t>A6 recto-verso quadri couché mat 250 g – offset</t>
  </si>
  <si>
    <t>ART-0127</t>
  </si>
  <si>
    <t>A5 recto-verso quadri couché brillant 130 g – offset</t>
  </si>
  <si>
    <t>ART-0128</t>
  </si>
  <si>
    <t>A5 recto-verso quadri couché brillant 170 g – offset</t>
  </si>
  <si>
    <t>ART-0129</t>
  </si>
  <si>
    <t>A5 recto-verso quadri couché mat 250 g – offset</t>
  </si>
  <si>
    <t>ART-0130</t>
  </si>
  <si>
    <t>A4 recto-verso quadri couché brillant 130 g – offset</t>
  </si>
  <si>
    <t>ART-0131</t>
  </si>
  <si>
    <t>A4 recto-verso quadri couché brillant 170 g – offset</t>
  </si>
  <si>
    <t>ART-0132</t>
  </si>
  <si>
    <t>A4 recto-verso quadri couché mat 250 g – offset</t>
  </si>
  <si>
    <t>ART-0133</t>
  </si>
  <si>
    <t>DL recto-verso quadri couché brillant 130 g – offset</t>
  </si>
  <si>
    <t>ART-0134</t>
  </si>
  <si>
    <t>DL recto-verso quadri couché brillant 170 g – offset</t>
  </si>
  <si>
    <t>ART-0135</t>
  </si>
  <si>
    <t>DL recto-verso quadri couché mat 250 g – offset</t>
  </si>
  <si>
    <t>ART-0136</t>
  </si>
  <si>
    <t>A4 3 volets recto-verso quadri couché brillant 130 g – offset</t>
  </si>
  <si>
    <t>ART-0137</t>
  </si>
  <si>
    <t>A4 3 volets recto-verso quadri couché brillant 170 g – offset</t>
  </si>
  <si>
    <t>ART-0138</t>
  </si>
  <si>
    <t>A3 2 volets recto-verso quadri couché brillant 130 g – offset</t>
  </si>
  <si>
    <t>ART-0139</t>
  </si>
  <si>
    <t>A3 2 volets recto-verso quadri couché brillant 170 g – offset</t>
  </si>
  <si>
    <t>ART-0140</t>
  </si>
  <si>
    <t>A3 recto quadri couché brillant 130 g – offset</t>
  </si>
  <si>
    <t>ART-0141</t>
  </si>
  <si>
    <t>A3 recto quadri couché brillant 170 g – offset</t>
  </si>
  <si>
    <t>ART-0142</t>
  </si>
  <si>
    <t>A2 recto quadri couché brillant 130 g – offset</t>
  </si>
  <si>
    <t>ART-0143</t>
  </si>
  <si>
    <t>A2 recto quadri couché brillant 170 g – offset</t>
  </si>
  <si>
    <t>ART-0144</t>
  </si>
  <si>
    <t>A4 recto 1 couleur offset 80 g – offset</t>
  </si>
  <si>
    <t>ART-0145</t>
  </si>
  <si>
    <t>A4 recto quadri offset 80 g – offset</t>
  </si>
  <si>
    <t>ART-0146</t>
  </si>
  <si>
    <t>bancaire A2 recto quadri couché brillant 170 g – offset</t>
  </si>
  <si>
    <t>ART-0147</t>
  </si>
  <si>
    <t>A4 8 pages piqûre à cheval quadri, int. couché 130 g, couv. 250 g – offset</t>
  </si>
  <si>
    <t>ART-0148</t>
  </si>
  <si>
    <t>A4 16 pages piqûre à cheval quadri, int. couché 130 g, couv. 250 g – offset</t>
  </si>
  <si>
    <t>ART-0149</t>
  </si>
  <si>
    <t>A4 24 pages piqûre à cheval quadri, int. couché 130 g, couv. 250 g – offset</t>
  </si>
  <si>
    <t>ART-0150</t>
  </si>
  <si>
    <t>A4 32 pages piqûre à cheval quadri, int. couché 130 g, couv. 250 g – offset</t>
  </si>
  <si>
    <t>ART-0151</t>
  </si>
  <si>
    <t>A4 48 pages piqûre à cheval quadri, int. couché 130 g, couv. 250 g – offset</t>
  </si>
  <si>
    <t>ART-0152</t>
  </si>
  <si>
    <t>A4 recto 1 couleur offset 80 g – Presstek</t>
  </si>
  <si>
    <t>ART-0153</t>
  </si>
  <si>
    <t>A4 recto 2 couleurs offset 80 g – Presstek</t>
  </si>
  <si>
    <t>ART-0154</t>
  </si>
  <si>
    <t>A6 recto-verso quadri couché brillant 130 g – Presstek</t>
  </si>
  <si>
    <t>ART-0155</t>
  </si>
  <si>
    <t>A5 recto-verso quadri couché brillant 130 g – Presstek</t>
  </si>
  <si>
    <t>ART-0156</t>
  </si>
  <si>
    <t>A4 recto-verso quadri couché brillant 130 g – Presstek</t>
  </si>
  <si>
    <t>ART-0157</t>
  </si>
  <si>
    <t>DL recto-verso quadri couché brillant 130 g – Presstek</t>
  </si>
  <si>
    <t>ART-0158</t>
  </si>
  <si>
    <t>85×55 recto-verso quadri couché mat 300 g – Presstek</t>
  </si>
  <si>
    <t>ART-0159</t>
  </si>
  <si>
    <t>Enveloppe</t>
  </si>
  <si>
    <t>DL 110×220 imprimée 1 couleur – Presstek</t>
  </si>
  <si>
    <t>ART-0160</t>
  </si>
  <si>
    <t>DL 110×220 imprimée quadri – Presstek</t>
  </si>
  <si>
    <t>ART-0161</t>
  </si>
  <si>
    <t>Bâche</t>
  </si>
  <si>
    <t>frontlit 440 g impression seule (au m²)</t>
  </si>
  <si>
    <t>Grand format et signalétique</t>
  </si>
  <si>
    <t>ART-0162</t>
  </si>
  <si>
    <t>frontlit 440 g avec ourlets et œillets (au m²)</t>
  </si>
  <si>
    <t>ART-0163</t>
  </si>
  <si>
    <t>Banderole</t>
  </si>
  <si>
    <t>bâche 2×1 m ourlets + œillets</t>
  </si>
  <si>
    <t>ART-0164</t>
  </si>
  <si>
    <t>bâche 3×1 m ourlets + œillets</t>
  </si>
  <si>
    <t>ART-0165</t>
  </si>
  <si>
    <t>bâche 4×1 m ourlets + œillets</t>
  </si>
  <si>
    <t>ART-0166</t>
  </si>
  <si>
    <t>bâche 5×1 m ourlets + œillets</t>
  </si>
  <si>
    <t>ART-0167</t>
  </si>
  <si>
    <t>bâche 6×1 m ourlets + œillets</t>
  </si>
  <si>
    <t>ART-0168</t>
  </si>
  <si>
    <t>bâche 8×1 m ourlets + œillets</t>
  </si>
  <si>
    <t>ART-0169</t>
  </si>
  <si>
    <t>bâche 10×1 m ourlets + œillets</t>
  </si>
  <si>
    <t>ART-0170</t>
  </si>
  <si>
    <t>tissu polyester 3×1 m ourlets + œillets</t>
  </si>
  <si>
    <t>ART-0171</t>
  </si>
  <si>
    <t>tissu polyester 5×1 m ourlets + œillets</t>
  </si>
  <si>
    <t>ART-0172</t>
  </si>
  <si>
    <t>Roll-up</t>
  </si>
  <si>
    <t>85×200 toile PET avec cassette</t>
  </si>
  <si>
    <t>ART-0173</t>
  </si>
  <si>
    <t>100×200 toile PET avec cassette</t>
  </si>
  <si>
    <t>ART-0174</t>
  </si>
  <si>
    <t>120×200 toile PET avec cassette</t>
  </si>
  <si>
    <t>ART-0175</t>
  </si>
  <si>
    <t>Kakémono</t>
  </si>
  <si>
    <t>suspendu 60×160 toile PET avec baguettes</t>
  </si>
  <si>
    <t>ART-0176</t>
  </si>
  <si>
    <t>suspendu 80×200 toile PET avec baguettes</t>
  </si>
  <si>
    <t>ART-0177</t>
  </si>
  <si>
    <t>suspendu 100×200 toile PET avec baguettes</t>
  </si>
  <si>
    <t>ART-0178</t>
  </si>
  <si>
    <t>grand format A2 papier affiche 150 g</t>
  </si>
  <si>
    <t>ART-0179</t>
  </si>
  <si>
    <t>grand format A1 papier affiche 150 g</t>
  </si>
  <si>
    <t>ART-0180</t>
  </si>
  <si>
    <t>grand format A0 papier affiche 150 g</t>
  </si>
  <si>
    <t>ART-0181</t>
  </si>
  <si>
    <t>grand format 60×80 papier affiche 150 g</t>
  </si>
  <si>
    <t>ART-0182</t>
  </si>
  <si>
    <t>grand format 120×176 papier affiche 150 g</t>
  </si>
  <si>
    <t>ART-0183</t>
  </si>
  <si>
    <t>Vinyle adhésif</t>
  </si>
  <si>
    <t>imprimé (au m²)</t>
  </si>
  <si>
    <t>ART-0184</t>
  </si>
  <si>
    <t>imprimé et découpé à la forme (au m²)</t>
  </si>
  <si>
    <t>ART-0185</t>
  </si>
  <si>
    <t>Vitrophanie</t>
  </si>
  <si>
    <t>vinyle microperforé imprimé (au m²)</t>
  </si>
  <si>
    <t>ART-0186</t>
  </si>
  <si>
    <t>vinyle adhésif imprimé pose intérieure (au m²)</t>
  </si>
  <si>
    <t>ART-0187</t>
  </si>
  <si>
    <t>Sticker véhicule</t>
  </si>
  <si>
    <t>portières 60×40 cm (paire) vinyle découpé</t>
  </si>
  <si>
    <t>ART-0188</t>
  </si>
  <si>
    <t>Mur d'étoiles</t>
  </si>
  <si>
    <t>photocall bâche 2×2 m ourlets + œillets</t>
  </si>
  <si>
    <t>ART-0189</t>
  </si>
  <si>
    <t>photocall bâche 3×2 m ourlets + œillets</t>
  </si>
  <si>
    <t>ART-0190</t>
  </si>
  <si>
    <t>photocall bâche 3×2.5 m ourlets + œillets</t>
  </si>
  <si>
    <t>ART-0191</t>
  </si>
  <si>
    <t>photocall bâche 4×2.5 m ourlets + œillets</t>
  </si>
  <si>
    <t>ART-0192</t>
  </si>
  <si>
    <t>photocall bâche 5×2.5 m ourlets + œillets</t>
  </si>
  <si>
    <t>ART-0193</t>
  </si>
  <si>
    <t>Drapeau</t>
  </si>
  <si>
    <t>tissu polyester 100×150 ourlé avec fourreau</t>
  </si>
  <si>
    <t>ART-0194</t>
  </si>
  <si>
    <t>tissu polyester 150×225 ourlé avec fourreau</t>
  </si>
  <si>
    <t>ART-0195</t>
  </si>
  <si>
    <t>Panneau de chantier</t>
  </si>
  <si>
    <t>ART-0196</t>
  </si>
  <si>
    <t>bâche 3×2 m ourlets + œillets</t>
  </si>
  <si>
    <t>ART-0197</t>
  </si>
  <si>
    <t>bâche 4×3 m ourlets + œillets</t>
  </si>
  <si>
    <t>ART-0198</t>
  </si>
  <si>
    <t>bâche 6×3 m ourlets + œillets</t>
  </si>
  <si>
    <t>ART-0199</t>
  </si>
  <si>
    <t>Palissade de chantier</t>
  </si>
  <si>
    <t>bâche hauteur 2 m ourlets + œillets (au ml)</t>
  </si>
  <si>
    <t>ART-0200</t>
  </si>
  <si>
    <t>T-shirt</t>
  </si>
  <si>
    <t>coton blanc marquage DTF cœur</t>
  </si>
  <si>
    <t>Textile personnalisé</t>
  </si>
  <si>
    <t>ART-0201</t>
  </si>
  <si>
    <t>coton blanc marquage DTF dos A4</t>
  </si>
  <si>
    <t>ART-0202</t>
  </si>
  <si>
    <t>coton blanc marquage DTF dos A3</t>
  </si>
  <si>
    <t>ART-0203</t>
  </si>
  <si>
    <t>coton blanc marquage DTF cœur + dos A4</t>
  </si>
  <si>
    <t>ART-0204</t>
  </si>
  <si>
    <t>coton blanc marquage DTF cœur + dos A3</t>
  </si>
  <si>
    <t>ART-0205</t>
  </si>
  <si>
    <t>coton couleur marquage DTF cœur</t>
  </si>
  <si>
    <t>ART-0206</t>
  </si>
  <si>
    <t>coton couleur marquage DTF dos A4</t>
  </si>
  <si>
    <t>ART-0207</t>
  </si>
  <si>
    <t>coton couleur marquage DTF dos A3</t>
  </si>
  <si>
    <t>ART-0208</t>
  </si>
  <si>
    <t>coton couleur marquage DTF cœur + dos A4</t>
  </si>
  <si>
    <t>ART-0209</t>
  </si>
  <si>
    <t>coton couleur marquage DTF cœur + dos A3</t>
  </si>
  <si>
    <t>ART-0210</t>
  </si>
  <si>
    <t>coton blanc sérigraphie 1 couleur (A4 max)</t>
  </si>
  <si>
    <t>ART-0211</t>
  </si>
  <si>
    <t>coton blanc sérigraphie 2 couleurs (A4 max)</t>
  </si>
  <si>
    <t>ART-0212</t>
  </si>
  <si>
    <t>coton blanc sérigraphie 3 couleurs (A4 max)</t>
  </si>
  <si>
    <t>ART-0213</t>
  </si>
  <si>
    <t>coton couleur sérigraphie 1 couleur (A4 max)</t>
  </si>
  <si>
    <t>ART-0214</t>
  </si>
  <si>
    <t>coton couleur sérigraphie 2 couleurs (A4 max)</t>
  </si>
  <si>
    <t>ART-0215</t>
  </si>
  <si>
    <t>coton couleur sérigraphie 3 couleurs (A4 max)</t>
  </si>
  <si>
    <t>ART-0216</t>
  </si>
  <si>
    <t>polyester blanc sublimation face A4</t>
  </si>
  <si>
    <t>ART-0217</t>
  </si>
  <si>
    <t>polyester blanc sublimation face A3</t>
  </si>
  <si>
    <t>ART-0218</t>
  </si>
  <si>
    <t>polyester blanc sublimation face + dos A4</t>
  </si>
  <si>
    <t>ART-0219</t>
  </si>
  <si>
    <t>polyester blanc sublimation face + dos A3</t>
  </si>
  <si>
    <t>ART-0220</t>
  </si>
  <si>
    <t>Polo</t>
  </si>
  <si>
    <t>piqué marquage DTF cœur</t>
  </si>
  <si>
    <t>ART-0221</t>
  </si>
  <si>
    <t>piqué marquage DTF cœur + dos A4</t>
  </si>
  <si>
    <t>ART-0222</t>
  </si>
  <si>
    <t>piqué marquage DTF cœur + dos A3</t>
  </si>
  <si>
    <t>ART-0223</t>
  </si>
  <si>
    <t>piqué sérigraphie cœur 1 couleur</t>
  </si>
  <si>
    <t>ART-0224</t>
  </si>
  <si>
    <t>piqué sérigraphie cœur 2 couleurs</t>
  </si>
  <si>
    <t>ART-0225</t>
  </si>
  <si>
    <t>Casquette</t>
  </si>
  <si>
    <t>marquage DTF face</t>
  </si>
  <si>
    <t>ART-0226</t>
  </si>
  <si>
    <t>marquage DTF face + 2 côtés</t>
  </si>
  <si>
    <t>ART-0227</t>
  </si>
  <si>
    <t>Mug</t>
  </si>
  <si>
    <t>céramique blanc 11 oz sublimation 1 face</t>
  </si>
  <si>
    <t>Objets publicitaires</t>
  </si>
  <si>
    <t>ART-0228</t>
  </si>
  <si>
    <t>céramique blanc 11 oz sublimation 2 faces</t>
  </si>
  <si>
    <t>ART-0229</t>
  </si>
  <si>
    <t>céramique blanc 11 oz sublimation 360°</t>
  </si>
  <si>
    <t>ART-0230</t>
  </si>
  <si>
    <t>Gourde</t>
  </si>
  <si>
    <t>aluminium 500 ml sublimation 1 face</t>
  </si>
  <si>
    <t>ART-0231</t>
  </si>
  <si>
    <t>aluminium 500 ml sublimation 2 faces</t>
  </si>
  <si>
    <t>ART-0232</t>
  </si>
  <si>
    <t>aluminium 500 ml sublimation 360°</t>
  </si>
  <si>
    <t>ART-0233</t>
  </si>
  <si>
    <t>Stylo</t>
  </si>
  <si>
    <t>plastique sans marquage (négoce)</t>
  </si>
  <si>
    <t>ART-0234</t>
  </si>
  <si>
    <t>plastique sérigraphie 1 couleur</t>
  </si>
  <si>
    <t>ART-0235</t>
  </si>
  <si>
    <t>Bracelet</t>
  </si>
  <si>
    <t>silicone sérigraphie 1 couleur</t>
  </si>
  <si>
    <t>ART-0236</t>
  </si>
  <si>
    <t>silicone sérigraphie 2 couleurs</t>
  </si>
  <si>
    <t>ART-0237</t>
  </si>
  <si>
    <t>Sac</t>
  </si>
  <si>
    <t>cabas coton DTF A4</t>
  </si>
  <si>
    <t>ART-0238</t>
  </si>
  <si>
    <t>cabas coton DTF A3</t>
  </si>
  <si>
    <t>ART-0239</t>
  </si>
  <si>
    <t>cabas coton sérigraphie 1 couleur</t>
  </si>
  <si>
    <t>ART-0240</t>
  </si>
  <si>
    <t>cabas coton sérigraphie 2 couleurs</t>
  </si>
  <si>
    <t>ART-0241</t>
  </si>
  <si>
    <t>cabas coton sérigraphie 3 couleurs</t>
  </si>
  <si>
    <t>ART-0242</t>
  </si>
  <si>
    <t>Porte-clés</t>
  </si>
  <si>
    <t>cuir synthétique marquage DTF</t>
  </si>
  <si>
    <t>ART-0243</t>
  </si>
  <si>
    <t>Protège-carnet</t>
  </si>
  <si>
    <t>cuir synthétique A5 marquage DTF</t>
  </si>
  <si>
    <t>ART-0244</t>
  </si>
  <si>
    <t>Sticker</t>
  </si>
  <si>
    <t>rond Ø 5 cm papier adhésif brillant découpé</t>
  </si>
  <si>
    <t>Packaging et étiquettes</t>
  </si>
  <si>
    <t>ART-0245</t>
  </si>
  <si>
    <t>rond Ø 10 cm papier adhésif brillant découpé</t>
  </si>
  <si>
    <t>ART-0246</t>
  </si>
  <si>
    <t>rectangulaire A6 papier adhésif brillant découpé</t>
  </si>
  <si>
    <t>ART-0247</t>
  </si>
  <si>
    <t>planche A4 multi-formes papier adhésif brillant découpé</t>
  </si>
  <si>
    <t>ART-0248</t>
  </si>
  <si>
    <t>Étiquette</t>
  </si>
  <si>
    <t>produit rond Ø 4 cm papier adhésif pelliculée</t>
  </si>
  <si>
    <t>ART-0249</t>
  </si>
  <si>
    <t>produit rectangulaire 5×3 cm papier adhésif pelliculée</t>
  </si>
  <si>
    <t>ART-0250</t>
  </si>
  <si>
    <t>produit rectangulaire 10×7 cm papier adhésif pelliculée</t>
  </si>
  <si>
    <t>ART-0251</t>
  </si>
  <si>
    <t>produit rectangulaire 10×15 cm papier adhésif pelliculée</t>
  </si>
  <si>
    <t>ART-0252</t>
  </si>
  <si>
    <t>produit bouteille 20×8 cm papier adhésif pelliculée</t>
  </si>
  <si>
    <t>ART-0253</t>
  </si>
  <si>
    <t>produit A6 papier adhésif pelliculée</t>
  </si>
  <si>
    <t>ART-0254</t>
  </si>
  <si>
    <t>textile volante (hangtag) carton 350 g recto-verso</t>
  </si>
  <si>
    <t>ART-0255</t>
  </si>
  <si>
    <t>Boîte</t>
  </si>
  <si>
    <t>pliante petite 10×10×5 cm carton 350 g pelliculée</t>
  </si>
  <si>
    <t>ART-0256</t>
  </si>
  <si>
    <t>pliante moyenne 20×15×8 cm carton 350 g pelliculée</t>
  </si>
  <si>
    <t>ART-0257</t>
  </si>
  <si>
    <t>pliante pâtisserie 25×25×10 cm carton 350 g pelliculée</t>
  </si>
  <si>
    <t>ART-0258</t>
  </si>
  <si>
    <t>pliante cosmétique 6×6×15 cm carton 350 g pelliculée</t>
  </si>
  <si>
    <t>ART-0259</t>
  </si>
  <si>
    <t>pliante à bijoux 8×8×3 cm carton 350 g pelliculée</t>
  </si>
  <si>
    <t>ART-0260</t>
  </si>
  <si>
    <t>pliante coffret 30×20×10 cm carton 350 g pelliculée</t>
  </si>
  <si>
    <t>ART-0261</t>
  </si>
  <si>
    <t>Sachet</t>
  </si>
  <si>
    <t>kraft avec étiquette ronde personnalisée</t>
  </si>
  <si>
    <t>ART-0262</t>
  </si>
  <si>
    <t>kraft sérigraphie 1 couleur</t>
  </si>
  <si>
    <t>ART-0263</t>
  </si>
  <si>
    <t>Chemise</t>
  </si>
  <si>
    <t>à rabats A4 carton 350 g sans finition</t>
  </si>
  <si>
    <t>ART-0264</t>
  </si>
  <si>
    <t>à rabats A4 carton 350 g pelliculée mat</t>
  </si>
  <si>
    <t>ART-0265</t>
  </si>
  <si>
    <t>à rabats A4 carton 350 g pelliculée mat + vernis sélectif</t>
  </si>
  <si>
    <t>ART-0266</t>
  </si>
  <si>
    <t>Kit</t>
  </si>
  <si>
    <t>de bienvenue (t-shirt DTF, mug, stylo, tote bag, coffret)</t>
  </si>
  <si>
    <t>Coffrets et kits</t>
  </si>
  <si>
    <t>ART-0267</t>
  </si>
  <si>
    <t>séminaire (chemise, bloc-notes A5, stylo, badge)</t>
  </si>
  <si>
    <t>ART-0268</t>
  </si>
  <si>
    <t>Coffret</t>
  </si>
  <si>
    <t>cadeau entreprise (gourde, mug, carnet, coffret)</t>
  </si>
  <si>
    <t>ART-0269</t>
  </si>
  <si>
    <t>événementiel (t-shirt DTF, casquette, bracelet)</t>
  </si>
  <si>
    <t>ART-0270</t>
  </si>
  <si>
    <t>fin d'année (agenda cuir, stylo, calendrier de bureau, coffret)</t>
  </si>
  <si>
    <t>ART-0271</t>
  </si>
  <si>
    <t>salon professionnel (roll-up 85×200, 500 flyers A5, 200 cartes de visite)</t>
  </si>
  <si>
    <t>ART-0272</t>
  </si>
  <si>
    <t>rentrée (tote bag, carnet, stylo, porte-clés)</t>
  </si>
  <si>
    <t>ART-0273</t>
  </si>
  <si>
    <t>chantier (t-shirt DTF, casquette, gourde)</t>
  </si>
  <si>
    <t>BASE ARTICLE – Imprimerie numérique (Digiprint)</t>
  </si>
  <si>
    <t>Base de données de travail générée pour le cahier de spécifications – valeurs réalistes à valider par le Responsable Stock et la Production</t>
  </si>
  <si>
    <t>STRUCTURE</t>
  </si>
  <si>
    <t>BASE_ARTICLE</t>
  </si>
  <si>
    <t>Table principale au format du gabarit : ID, Désignation, Nature, Catégorie, IMPUT1–50 (quantité d'intrant par unité d'article), MACH1–20 (temps de passage machine par unité d'article). Cellule vide = intrant / machine non utilisé.</t>
  </si>
  <si>
    <t>ATTRIBUTS_ARTICLE</t>
  </si>
  <si>
    <t>Unité de l'article, procédé, format fini, site de production et indicateurs calculés (nb d'intrants, nb de machines, temps machine total).</t>
  </si>
  <si>
    <t>REF_INTRANTS</t>
  </si>
  <si>
    <t>Correspondance IMPUTn → libellé, famille, UoM achat → UoM consommation, facteur de conversion, source.</t>
  </si>
  <si>
    <t>REF_MACHINES</t>
  </si>
  <si>
    <t>Correspondance MACHn → machine, atelier, site, cadence de référence, source.</t>
  </si>
  <si>
    <t>HORS_NOMENCLATURE</t>
  </si>
  <si>
    <t>Consommables et pièces d'usure gérés en stock mais non affectés à un article (frais d'atelier / maintenance).</t>
  </si>
  <si>
    <t>SYNTHESE</t>
  </si>
  <si>
    <t>Contrôles : répartition des articles par catégorie et par site.</t>
  </si>
  <si>
    <t>CONVENTIONS</t>
  </si>
  <si>
    <t>Unités intrants</t>
  </si>
  <si>
    <t>Exprimées dans l'UoM de consommation de REF_INTRANTS (feuille A0, ml, pièce, g, kg). Ex. : 0,0125 feuille A0 = une carte de visite.</t>
  </si>
  <si>
    <t>Unités machines</t>
  </si>
  <si>
    <t>Secondes par unité d'article. L'unité d'article est donnée dans ATTRIBUTS_ARTICLE : pièce, m², ml, paire, kit, ou lot de 1 000 (offset / Presstek, calage inclus).</t>
  </si>
  <si>
    <t>Nomenclature</t>
  </si>
  <si>
    <t>Désignation générique et courte ; la Nature porte le format, le support, l'impression et la finition (règle « sac » / « cabas »).</t>
  </si>
  <si>
    <t>HYPOTHÈSES DE CALCUL</t>
  </si>
  <si>
    <t>Papier numérique</t>
  </si>
  <si>
    <t>1 feuille A0 = 4 feuilles SRA3 (320×450) ; gâche 5 %. Poses/SRA3 : carte 21, A6 8, A5 4, A4 2, A3 1, DL 6.</t>
  </si>
  <si>
    <t>Encre Indigo</t>
  </si>
  <si>
    <t>0,12 ml / face SRA3 quadri (N/B texte : 30–40 %).</t>
  </si>
  <si>
    <t>HP Indigo</t>
  </si>
  <si>
    <t>1 s / face SRA3.</t>
  </si>
  <si>
    <t>Offset</t>
  </si>
  <si>
    <t>Feuille presse ≈ A1 (½ A0) ; gâche 8 % ; poses A1 : A6 24, A5 12, A4 6, DL 14, A3 3, A2 1 ; 3 g d'encre / face quadri ; 0,15 ml de mouillage / face ; 4 plaques / face quadri ; 8 000 f/h ; calage 15 min / face. Brochures : cahiers de 16 pages.</t>
  </si>
  <si>
    <t>Presstek DI</t>
  </si>
  <si>
    <t>Feuille SRA3 ; gâche 6 % ; 0,8 g d'encre / face quadri ; waterless (pas de mouillage) ; calage 6 min / face ; plaques DI hors nomenclature.</t>
  </si>
  <si>
    <t>Grand format</t>
  </si>
  <si>
    <t>Encre 10 ml/m² ; 15 m²/h bâche, 20 m²/h papier affiche, 12 m²/h tissu ; imbrication max. 3 poses dans la laize ; marge 0,10 ml ; œillet tous les 50 cm ; ourlet 20 s/m.</t>
  </si>
  <si>
    <t>DTF</t>
  </si>
  <si>
    <t>Film : surface / 0,60 × 1,2 ; encre 18 ml/m² (+25 % sur textile couleur) ; poudre 90 g/m² ; 8 m²/h ; presse 25 s / transfert.</t>
  </si>
  <si>
    <t>Sérigraphie</t>
  </si>
  <si>
    <t>Plastisol 6 g / couleur / A4 (+1 couche de fond sur textile couleur) ; écrans et insolation amortis sur une série de référence de 100 pièces (500 pour objets).</t>
  </si>
  <si>
    <t>Sublimation</t>
  </si>
  <si>
    <t>Papier : surface / 1,10 × 1,15 + 0,02 ml ; encre 12 ml/m² ; presse plate 60 s / face ; presse à mug 210 s (mug), 240 s (gourde).</t>
  </si>
  <si>
    <t>Finition</t>
  </si>
  <si>
    <t>Pelliculage : 0,45 ml de film / face SRA3, 10 ml/min ; Jet Varnish : 0,6 ml et 3 s / SRA3 ; plotter : 60 s / SRA3.</t>
  </si>
  <si>
    <t>À VALIDER</t>
  </si>
  <si>
    <t>Les colonnes « Source » marquées « à confirmer » sont des propositions à vérifier auprès du Responsable Stock (grammages, laizes, conditionnements, équipements DTF / sublimation / sérigraphie, format de la presse offset).</t>
  </si>
  <si>
    <t>DESIGNATION</t>
  </si>
  <si>
    <t>UNITE_ARTICLE</t>
  </si>
  <si>
    <t>PROCEDE_PRINCIPAL</t>
  </si>
  <si>
    <t>FORMAT_FINI</t>
  </si>
  <si>
    <t>SITE_PRODUCTION</t>
  </si>
  <si>
    <t>NB_INTRANTS</t>
  </si>
  <si>
    <t>NB_MACHINES</t>
  </si>
  <si>
    <t>TEMPS_MACHINE_TOTAL (s)</t>
  </si>
  <si>
    <t>TEMPS_MACHINE_TOTAL (min)</t>
  </si>
  <si>
    <t>pièce</t>
  </si>
  <si>
    <t>Numérique HP Indigo</t>
  </si>
  <si>
    <t>85×55 mm</t>
  </si>
  <si>
    <t>Siège</t>
  </si>
  <si>
    <t>105×148 mm</t>
  </si>
  <si>
    <t>148×210 mm</t>
  </si>
  <si>
    <t>210×297 mm</t>
  </si>
  <si>
    <t>99×210 mm</t>
  </si>
  <si>
    <t>ouvert 210×297 mm</t>
  </si>
  <si>
    <t>ouvert 297×420 mm</t>
  </si>
  <si>
    <t>297×420 mm</t>
  </si>
  <si>
    <t>320×450 mm</t>
  </si>
  <si>
    <t>150×150 mm</t>
  </si>
  <si>
    <t>ouvert 148×210 mm</t>
  </si>
  <si>
    <t>86×54 mm</t>
  </si>
  <si>
    <t>50×200 mm</t>
  </si>
  <si>
    <t>Numérique + finition</t>
  </si>
  <si>
    <t>Numérique + DTF + finition</t>
  </si>
  <si>
    <t>lot de 1 000</t>
  </si>
  <si>
    <t>Angré + Siège</t>
  </si>
  <si>
    <t>420×594 mm</t>
  </si>
  <si>
    <t>Offset + finition</t>
  </si>
  <si>
    <t>110×220 mm</t>
  </si>
  <si>
    <t>m²</t>
  </si>
  <si>
    <t>au m²</t>
  </si>
  <si>
    <t>Angré</t>
  </si>
  <si>
    <t>200×100 cm</t>
  </si>
  <si>
    <t>300×100 cm</t>
  </si>
  <si>
    <t>400×100 cm</t>
  </si>
  <si>
    <t>500×100 cm</t>
  </si>
  <si>
    <t>600×100 cm</t>
  </si>
  <si>
    <t>800×100 cm</t>
  </si>
  <si>
    <t>1000×100 cm</t>
  </si>
  <si>
    <t>85×200 cm</t>
  </si>
  <si>
    <t>100×200 cm</t>
  </si>
  <si>
    <t>120×200 cm</t>
  </si>
  <si>
    <t>60×160 cm</t>
  </si>
  <si>
    <t>80×200 cm</t>
  </si>
  <si>
    <t>594×841 mm</t>
  </si>
  <si>
    <t>841×1189 mm</t>
  </si>
  <si>
    <t>600×800 mm</t>
  </si>
  <si>
    <t>1200×1760 mm</t>
  </si>
  <si>
    <t>Grand format + plotter</t>
  </si>
  <si>
    <t>paire</t>
  </si>
  <si>
    <t>2 × 600×400 mm</t>
  </si>
  <si>
    <t>200×200 cm</t>
  </si>
  <si>
    <t>300×200 cm</t>
  </si>
  <si>
    <t>300×250 cm</t>
  </si>
  <si>
    <t>400×250 cm</t>
  </si>
  <si>
    <t>500×250 cm</t>
  </si>
  <si>
    <t>100×150 cm</t>
  </si>
  <si>
    <t>150×225 cm</t>
  </si>
  <si>
    <t>400×300 cm</t>
  </si>
  <si>
    <t>600×300 cm</t>
  </si>
  <si>
    <t>ml</t>
  </si>
  <si>
    <t>h. 200 cm, au ml</t>
  </si>
  <si>
    <t>taille S à XXL</t>
  </si>
  <si>
    <t>taille unique</t>
  </si>
  <si>
    <t>Ø 82 × 95 mm</t>
  </si>
  <si>
    <t>500 ml</t>
  </si>
  <si>
    <t>Négoce</t>
  </si>
  <si>
    <t>standard</t>
  </si>
  <si>
    <t>Négoce (sans machine)</t>
  </si>
  <si>
    <t>taille adulte</t>
  </si>
  <si>
    <t>38×42 cm</t>
  </si>
  <si>
    <t>40×70 mm</t>
  </si>
  <si>
    <t>A5</t>
  </si>
  <si>
    <t>Numérique + plotter</t>
  </si>
  <si>
    <t>Ø 50 mm</t>
  </si>
  <si>
    <t>Ø 100 mm</t>
  </si>
  <si>
    <t>Ø 40 mm</t>
  </si>
  <si>
    <t>50×30 mm</t>
  </si>
  <si>
    <t>100×70 mm</t>
  </si>
  <si>
    <t>100×150 mm</t>
  </si>
  <si>
    <t>200×80 mm</t>
  </si>
  <si>
    <t>50×90 mm</t>
  </si>
  <si>
    <t>à plat ≈ 300×300 mm</t>
  </si>
  <si>
    <t>à plat SRA3</t>
  </si>
  <si>
    <t>à plat 2 × SRA3</t>
  </si>
  <si>
    <t>à plat ≈ 250×300 mm</t>
  </si>
  <si>
    <t>à plat ≈ 200×200 mm</t>
  </si>
  <si>
    <t>kit</t>
  </si>
  <si>
    <t>Assemblage</t>
  </si>
  <si>
    <t>CODE</t>
  </si>
  <si>
    <t>LIBELLE</t>
  </si>
  <si>
    <t>FAMILLE</t>
  </si>
  <si>
    <t>CATEGORIE_STOCK</t>
  </si>
  <si>
    <t>UOM_ACHAT</t>
  </si>
  <si>
    <t>CONDITIONNEMENT</t>
  </si>
  <si>
    <t>UOM_CONSO</t>
  </si>
  <si>
    <t>FACTEUR_CONVERSION</t>
  </si>
  <si>
    <t>SOURCE</t>
  </si>
  <si>
    <t>NB_ARTICLES_UTILISATEURS</t>
  </si>
  <si>
    <t>Papier couché brillant 130 g</t>
  </si>
  <si>
    <t>Matière première</t>
  </si>
  <si>
    <t>Papier</t>
  </si>
  <si>
    <t>Paquet</t>
  </si>
  <si>
    <t>125 feuilles A0</t>
  </si>
  <si>
    <t>feuille A0</t>
  </si>
  <si>
    <t>CDC (A0) ; grammage à confirmer</t>
  </si>
  <si>
    <t>Papier couché brillant 170 g</t>
  </si>
  <si>
    <t>100 feuilles A0</t>
  </si>
  <si>
    <t>CDC (paquet A0 170 g)</t>
  </si>
  <si>
    <t>Papier couché mat 250 g</t>
  </si>
  <si>
    <t>Papier couché mat 300 g</t>
  </si>
  <si>
    <t>Papier offset 80 g</t>
  </si>
  <si>
    <t>250 feuilles A0</t>
  </si>
  <si>
    <t>CDC ; à confirmer</t>
  </si>
  <si>
    <t>Papier offset 120 g</t>
  </si>
  <si>
    <t>Carton couché 350 g</t>
  </si>
  <si>
    <t>CDC (carton)</t>
  </si>
  <si>
    <t>Papier adhésif couché brillant</t>
  </si>
  <si>
    <t>À confirmer</t>
  </si>
  <si>
    <t>Papier création texturé 300 g</t>
  </si>
  <si>
    <t>CDC (couverture) ; à confirmer</t>
  </si>
  <si>
    <t>Bâche frontlit 440 g – laize 3,20 m</t>
  </si>
  <si>
    <t>Rouleau</t>
  </si>
  <si>
    <t>50 ml</t>
  </si>
  <si>
    <t>CDC</t>
  </si>
  <si>
    <t>Vinyle adhésif blanc – laize 1,37 m</t>
  </si>
  <si>
    <t>Vinyle microperforé (vitrophanie) – laize 1,37 m</t>
  </si>
  <si>
    <t>Papier affiche 150 g – laize 1,07 m</t>
  </si>
  <si>
    <t>Toile PET roll-up / kakémono – laize 0,91 m</t>
  </si>
  <si>
    <t>30 ml</t>
  </si>
  <si>
    <t>Tissu polyester (banderole, drapeau) – laize 1,60 m</t>
  </si>
  <si>
    <t>T-shirt coton blanc vierge</t>
  </si>
  <si>
    <t>Textile</t>
  </si>
  <si>
    <t>Carton</t>
  </si>
  <si>
    <t>50 pièces</t>
  </si>
  <si>
    <t>T-shirt coton couleur vierge</t>
  </si>
  <si>
    <t>Polo piqué vierge</t>
  </si>
  <si>
    <t>25 pièces</t>
  </si>
  <si>
    <t>Casquette vierge</t>
  </si>
  <si>
    <t>100 pièces</t>
  </si>
  <si>
    <t>T-shirt polyester blanc sublimable</t>
  </si>
  <si>
    <t>Support cuir synthétique prédécoupé</t>
  </si>
  <si>
    <t>Cuir et supports spéciaux</t>
  </si>
  <si>
    <t>Lot</t>
  </si>
  <si>
    <t>Web</t>
  </si>
  <si>
    <t>Stylo plastique vierge</t>
  </si>
  <si>
    <t>Négoce / gadgets</t>
  </si>
  <si>
    <t>500 pièces</t>
  </si>
  <si>
    <t>Mug céramique blanc sublimable 11 oz</t>
  </si>
  <si>
    <t>36 pièces</t>
  </si>
  <si>
    <t>Gourde aluminium sublimable 500 ml</t>
  </si>
  <si>
    <t>Bracelet silicone vierge</t>
  </si>
  <si>
    <t>Enveloppe blanche DL 110×220</t>
  </si>
  <si>
    <t>Emballage / packaging</t>
  </si>
  <si>
    <t>Sachet kraft vierge</t>
  </si>
  <si>
    <t>Spirale métallique</t>
  </si>
  <si>
    <t>Reliure</t>
  </si>
  <si>
    <t>Web ; à confirmer</t>
  </si>
  <si>
    <t>Colle hotmelt dos carré collé</t>
  </si>
  <si>
    <t>5 kg</t>
  </si>
  <si>
    <t>kg</t>
  </si>
  <si>
    <t>Agrafes piqûre à cheval</t>
  </si>
  <si>
    <t>5 000 pièces</t>
  </si>
  <si>
    <t>Couverture transparente (rhodoïd) A4</t>
  </si>
  <si>
    <t>Film de pelliculage mat – laize 0,33 m</t>
  </si>
  <si>
    <t>Finition (matière)</t>
  </si>
  <si>
    <t>200 ml</t>
  </si>
  <si>
    <t>Film de pelliculage brillant – laize 0,33 m</t>
  </si>
  <si>
    <t>Œillets métalliques</t>
  </si>
  <si>
    <t>1 000 pièces</t>
  </si>
  <si>
    <t>Cassette roll-up (structure + sac)</t>
  </si>
  <si>
    <t>10 pièces</t>
  </si>
  <si>
    <t>Baguettes aluminium kakémono (paire)</t>
  </si>
  <si>
    <t>20 paires</t>
  </si>
  <si>
    <t>Plaque offset (prestataire Aziz)</t>
  </si>
  <si>
    <t>Plaques offset</t>
  </si>
  <si>
    <t>Pièce</t>
  </si>
  <si>
    <t>1 pièce</t>
  </si>
  <si>
    <t>Encre HP Indigo ElectroInk (CMJN)</t>
  </si>
  <si>
    <t>Consommable</t>
  </si>
  <si>
    <t>Encres numérique</t>
  </si>
  <si>
    <t>Bidon</t>
  </si>
  <si>
    <t>1 000 ml</t>
  </si>
  <si>
    <t>Web ; références à confirmer</t>
  </si>
  <si>
    <t>Encre grand format éco-solvant (CMJN)</t>
  </si>
  <si>
    <t>Encres grand format</t>
  </si>
  <si>
    <t>Poche</t>
  </si>
  <si>
    <t>À confirmer (type d'encre)</t>
  </si>
  <si>
    <t>Encre offset (CMJN)</t>
  </si>
  <si>
    <t>Encres offset</t>
  </si>
  <si>
    <t>1 kg</t>
  </si>
  <si>
    <t>g</t>
  </si>
  <si>
    <t>Encre sérigraphique plastisol</t>
  </si>
  <si>
    <t>Pot</t>
  </si>
  <si>
    <t>Émulsion photosensible sérigraphie</t>
  </si>
  <si>
    <t>Film DTF – laize 0,60 m</t>
  </si>
  <si>
    <t>100 ml</t>
  </si>
  <si>
    <t>Encre DTF (CMJN + blanc)</t>
  </si>
  <si>
    <t>Poudre adhésive DTF</t>
  </si>
  <si>
    <t>Papier de sublimation – laize 1,10 m</t>
  </si>
  <si>
    <t>Encre sublimation (CMJN)</t>
  </si>
  <si>
    <t>Vernis sélectif Jet Varnish</t>
  </si>
  <si>
    <t>Vernis sélectif</t>
  </si>
  <si>
    <t>Solution de mouillage offset</t>
  </si>
  <si>
    <t>Consommables offset</t>
  </si>
  <si>
    <t>20 l</t>
  </si>
  <si>
    <t>MACHINE</t>
  </si>
  <si>
    <t>ATELIER</t>
  </si>
  <si>
    <t>SITE</t>
  </si>
  <si>
    <t>UNITE_TEMPS</t>
  </si>
  <si>
    <t>CADENCE_REFERENCE</t>
  </si>
  <si>
    <t>HP Indigo – presse numérique feuille</t>
  </si>
  <si>
    <t>Impression numérique</t>
  </si>
  <si>
    <t>seconde</t>
  </si>
  <si>
    <t>≈ 1 s / feuille SRA3 / face (quadri)</t>
  </si>
  <si>
    <t>Presstek DI – offset numérique waterless</t>
  </si>
  <si>
    <t>≈ 10 000 feuilles SRA3/h ; calage 6 min/face</t>
  </si>
  <si>
    <t>Imprimante DTF</t>
  </si>
  <si>
    <t>≈ 8 m²/h</t>
  </si>
  <si>
    <t>CDC (activité) ; équipement à confirmer</t>
  </si>
  <si>
    <t>Poudreuse / four DTF</t>
  </si>
  <si>
    <t>≈ 12 m²/h</t>
  </si>
  <si>
    <t>Presse à chaud plate</t>
  </si>
  <si>
    <t>DTF / Sublimation</t>
  </si>
  <si>
    <t>25–60 s / transfert (manutention incluse)</t>
  </si>
  <si>
    <t>Imprimante sublimation</t>
  </si>
  <si>
    <t>≈ 10 m²/h</t>
  </si>
  <si>
    <t>Presse à mug / objets cylindriques</t>
  </si>
  <si>
    <t>180–240 s / pièce</t>
  </si>
  <si>
    <t>Carrousel / table de sérigraphie</t>
  </si>
  <si>
    <t>20 s + 5 s / couleur / pièce</t>
  </si>
  <si>
    <t>Insoleuse</t>
  </si>
  <si>
    <t>150 s / écran</t>
  </si>
  <si>
    <t>Tunnel de séchage</t>
  </si>
  <si>
    <t>≈ 120 pièces/h</t>
  </si>
  <si>
    <t>Massicot</t>
  </si>
  <si>
    <t>0,2 s / feuille + 0,03 s / pose</t>
  </si>
  <si>
    <t>Plieuse / piqueuse</t>
  </si>
  <si>
    <t>≈ 12 000 plis/h ; piqûre 3 s / ex.</t>
  </si>
  <si>
    <t>CDC (piqueuse à confirmer)</t>
  </si>
  <si>
    <t>Relieuse dos carré collé</t>
  </si>
  <si>
    <t>≈ 180 ex./h</t>
  </si>
  <si>
    <t>Relieuse spirale (perforelieuse)</t>
  </si>
  <si>
    <t>20 s + 0,5 s / feuille</t>
  </si>
  <si>
    <t>Pelliculeuse</t>
  </si>
  <si>
    <t>10 ml/min</t>
  </si>
  <si>
    <t>Plotter de découpe</t>
  </si>
  <si>
    <t>60 s / feuille SRA3 ; 300 s / m² vinyle</t>
  </si>
  <si>
    <t>Jet Varnish – vernis sélectif</t>
  </si>
  <si>
    <t>≈ 3 s / feuille SRA3</t>
  </si>
  <si>
    <t>Imprimante grand format</t>
  </si>
  <si>
    <t>≈ 15 m²/h (bâche)</t>
  </si>
  <si>
    <t>Presse offset</t>
  </si>
  <si>
    <t>8 000 feuilles/h ; calage 15 min/face</t>
  </si>
  <si>
    <t>CDC (format : point ouvert)</t>
  </si>
  <si>
    <t>Poste finition grand format (œilletonneuse / soudeuse)</t>
  </si>
  <si>
    <t>20 s / m d'ourlet ; 8 s / œillet</t>
  </si>
  <si>
    <t>UOM_GESTION</t>
  </si>
  <si>
    <t>MACHINE / ATELIER</t>
  </si>
  <si>
    <t>MODE_D'AFFECTATION</t>
  </si>
  <si>
    <t>Encres offset tons directs (Pantone)</t>
  </si>
  <si>
    <t>Boîte / kg</t>
  </si>
  <si>
    <t>Consommation au travail (tons directs)</t>
  </si>
  <si>
    <t>Cleaner plaques / blanchets</t>
  </si>
  <si>
    <t>Frais d'atelier</t>
  </si>
  <si>
    <t>Poudre antimaculante</t>
  </si>
  <si>
    <t>Isopropanol (IPA)</t>
  </si>
  <si>
    <t>Fût / bidon</t>
  </si>
  <si>
    <t>Plaques Presstek DI (bobine)</t>
  </si>
  <si>
    <t>Consommables Presstek</t>
  </si>
  <si>
    <t>Bobine</t>
  </si>
  <si>
    <t>Consommation au calage</t>
  </si>
  <si>
    <t>Diluant sérigraphie</t>
  </si>
  <si>
    <t>Carrousel</t>
  </si>
  <si>
    <t>Décapant / dégraissant écran</t>
  </si>
  <si>
    <t>Écrans / cadres sérigraphie</t>
  </si>
  <si>
    <t>Immobilisation / usure</t>
  </si>
  <si>
    <t>Raclettes</t>
  </si>
  <si>
    <t>Pièce d'usure</t>
  </si>
  <si>
    <t>Alcool de nettoyage</t>
  </si>
  <si>
    <t>Nettoyage</t>
  </si>
  <si>
    <t>Tous ateliers</t>
  </si>
  <si>
    <t>Chiffons d'essuyage</t>
  </si>
  <si>
    <t>Gants de protection</t>
  </si>
  <si>
    <t>Lames de massicot</t>
  </si>
  <si>
    <t>Pièces d'usure</t>
  </si>
  <si>
    <t>Maintenance</t>
  </si>
  <si>
    <t>Lames de découpe plotter</t>
  </si>
  <si>
    <t>Blanchets offset</t>
  </si>
  <si>
    <t>Blanchets / PIP HP Indigo</t>
  </si>
  <si>
    <t>Maintenance (suivi compteur)</t>
  </si>
  <si>
    <t>Têtes d'impression grand format</t>
  </si>
  <si>
    <t>Têtes d'impression DTF / sublimation</t>
  </si>
  <si>
    <t>Imprimantes DTF / sublimation</t>
  </si>
  <si>
    <t>Courroies</t>
  </si>
  <si>
    <t>Plieuse, pelliculeuse</t>
  </si>
  <si>
    <t>Téflon / feuille de protection presse à chaud</t>
  </si>
  <si>
    <t>Presses à chaud</t>
  </si>
  <si>
    <t>Synthèse de la base article</t>
  </si>
  <si>
    <t>NB_ARTICLES</t>
  </si>
  <si>
    <t>% DU TOTAL</t>
  </si>
  <si>
    <t>TOTAL</t>
  </si>
  <si>
    <t>Contrôle : total catégories = total sites</t>
  </si>
  <si>
    <t>yt</t>
  </si>
  <si>
    <t>Sac cabas papier (tote bag) vierge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</si>
</sst>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name val="Arial"/>
      <family val="2"/>
    </font>
    <font>
      <b/>
      <sz val="14"/>
      <color rgb="FF1F2A44"/>
      <name val="Arial"/>
      <charset val="1"/>
    </font>
    <font>
      <i/>
      <sz val="9"/>
      <color rgb="FF7F7F7F"/>
      <name val="Arial"/>
      <charset val="1"/>
    </font>
    <font>
      <b/>
      <sz val="11"/>
      <color rgb="FFC9A227"/>
      <name val="Arial"/>
      <charset val="1"/>
    </font>
    <font>
      <b/>
      <sz val="10"/>
      <color rgb="FF1F2A44"/>
      <name val="Arial"/>
      <charset val="1"/>
    </font>
    <font>
      <sz val="10"/>
      <color rgb="FF0000FF"/>
      <name val="Arial"/>
      <charset val="1"/>
    </font>
    <font>
      <i/>
      <sz val="10"/>
      <color rgb="FFB8860B"/>
      <name val="Arial"/>
      <charset val="1"/>
    </font>
    <font>
      <b/>
      <sz val="11"/>
      <color rgb="FF1F2A4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2F3B55"/>
        <bgColor rgb="FF333333"/>
      </patternFill>
    </fill>
    <fill>
      <patternFill patternType="solid">
        <fgColor rgb="FFF3F1EA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C9A227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" fontId="3" fillId="0" borderId="2" xfId="0" applyNumberFormat="1" applyFont="1" applyBorder="1"/>
    <xf numFmtId="0" fontId="9" fillId="0" borderId="2" xfId="0" applyFont="1" applyBorder="1"/>
    <xf numFmtId="0" fontId="10" fillId="0" borderId="2" xfId="0" applyFont="1" applyBorder="1"/>
    <xf numFmtId="164" fontId="3" fillId="0" borderId="2" xfId="0" applyNumberFormat="1" applyFont="1" applyBorder="1"/>
    <xf numFmtId="0" fontId="11" fillId="0" borderId="3" xfId="0" applyFont="1" applyBorder="1"/>
    <xf numFmtId="164" fontId="11" fillId="0" borderId="3" xfId="0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11" fillId="0" borderId="0" xfId="0" applyFont="1"/>
    <xf numFmtId="0" fontId="1" fillId="0" borderId="2" xfId="1" applyNumberFormat="1" applyBorder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7F7F7F"/>
      <rgbColor rgb="FF9999FF"/>
      <rgbColor rgb="FF993366"/>
      <rgbColor rgb="FFF3F1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2A44"/>
      <rgbColor rgb="FF339966"/>
      <rgbColor rgb="FF003300"/>
      <rgbColor rgb="FF333300"/>
      <rgbColor rgb="FF993300"/>
      <rgbColor rgb="FF993366"/>
      <rgbColor rgb="FF2F3B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BV274"/>
  <sheetViews>
    <sheetView tabSelected="1" zoomScaleNormal="100" workbookViewId="0">
      <pane ySplit="1" topLeftCell="A221" activePane="bottomLeft" state="frozen"/>
      <selection pane="bottomLeft" activeCell="F233" sqref="F233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62" customWidth="1"/>
    <col min="4" max="4" width="30" customWidth="1"/>
    <col min="5" max="74" width="10" customWidth="1"/>
  </cols>
  <sheetData>
    <row r="1" spans="1:7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x14ac:dyDescent="0.25">
      <c r="A2" s="3" t="s">
        <v>74</v>
      </c>
      <c r="B2" s="3" t="s">
        <v>75</v>
      </c>
      <c r="C2" s="3" t="s">
        <v>76</v>
      </c>
      <c r="D2" s="3" t="s">
        <v>77</v>
      </c>
      <c r="E2" s="4"/>
      <c r="F2" s="4"/>
      <c r="G2" s="4"/>
      <c r="H2" s="4">
        <v>1.2500000000000001E-2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>
        <v>6.0000000000000001E-3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0.05</v>
      </c>
      <c r="BD2" s="4"/>
      <c r="BE2" s="4"/>
      <c r="BF2" s="4"/>
      <c r="BG2" s="4"/>
      <c r="BH2" s="4"/>
      <c r="BI2" s="4"/>
      <c r="BJ2" s="4"/>
      <c r="BK2" s="4"/>
      <c r="BL2" s="4"/>
      <c r="BM2" s="4">
        <v>0.04</v>
      </c>
      <c r="BN2" s="4"/>
      <c r="BO2" s="4"/>
      <c r="BP2" s="4"/>
      <c r="BQ2" s="4"/>
      <c r="BR2" s="4"/>
      <c r="BS2" s="4"/>
      <c r="BT2" s="4"/>
      <c r="BU2" s="4"/>
      <c r="BV2" s="4"/>
    </row>
    <row r="3" spans="1:74" x14ac:dyDescent="0.25">
      <c r="A3" s="5" t="s">
        <v>78</v>
      </c>
      <c r="B3" s="5" t="s">
        <v>75</v>
      </c>
      <c r="C3" s="5" t="s">
        <v>79</v>
      </c>
      <c r="D3" s="5" t="s">
        <v>77</v>
      </c>
      <c r="E3" s="4"/>
      <c r="F3" s="4"/>
      <c r="G3" s="4"/>
      <c r="H3" s="4">
        <v>1.2500000000000001E-2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>
        <v>2.2499999999999999E-2</v>
      </c>
      <c r="AL3" s="4"/>
      <c r="AM3" s="4"/>
      <c r="AN3" s="4"/>
      <c r="AO3" s="4"/>
      <c r="AP3" s="4"/>
      <c r="AQ3" s="4">
        <v>6.0000000000000001E-3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0.05</v>
      </c>
      <c r="BD3" s="4"/>
      <c r="BE3" s="4"/>
      <c r="BF3" s="4"/>
      <c r="BG3" s="4"/>
      <c r="BH3" s="4"/>
      <c r="BI3" s="4"/>
      <c r="BJ3" s="4"/>
      <c r="BK3" s="4"/>
      <c r="BL3" s="4"/>
      <c r="BM3" s="4">
        <v>0.04</v>
      </c>
      <c r="BN3" s="4"/>
      <c r="BO3" s="4"/>
      <c r="BP3" s="4"/>
      <c r="BQ3" s="4">
        <v>0.14000000000000001</v>
      </c>
      <c r="BR3" s="4"/>
      <c r="BS3" s="4"/>
      <c r="BT3" s="4"/>
      <c r="BU3" s="4"/>
      <c r="BV3" s="4"/>
    </row>
    <row r="4" spans="1:74" x14ac:dyDescent="0.25">
      <c r="A4" s="3" t="s">
        <v>80</v>
      </c>
      <c r="B4" s="3" t="s">
        <v>75</v>
      </c>
      <c r="C4" s="3" t="s">
        <v>81</v>
      </c>
      <c r="D4" s="3" t="s">
        <v>77</v>
      </c>
      <c r="E4" s="4"/>
      <c r="F4" s="4"/>
      <c r="G4" s="4"/>
      <c r="H4" s="4">
        <v>1.2500000000000001E-2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>
        <v>2.2499999999999999E-2</v>
      </c>
      <c r="AM4" s="4"/>
      <c r="AN4" s="4"/>
      <c r="AO4" s="4"/>
      <c r="AP4" s="4"/>
      <c r="AQ4" s="4">
        <v>6.0000000000000001E-3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0.05</v>
      </c>
      <c r="BD4" s="4"/>
      <c r="BE4" s="4"/>
      <c r="BF4" s="4"/>
      <c r="BG4" s="4"/>
      <c r="BH4" s="4"/>
      <c r="BI4" s="4"/>
      <c r="BJ4" s="4"/>
      <c r="BK4" s="4"/>
      <c r="BL4" s="4"/>
      <c r="BM4" s="4">
        <v>0.04</v>
      </c>
      <c r="BN4" s="4"/>
      <c r="BO4" s="4"/>
      <c r="BP4" s="4"/>
      <c r="BQ4" s="4">
        <v>0.14000000000000001</v>
      </c>
      <c r="BR4" s="4"/>
      <c r="BS4" s="4"/>
      <c r="BT4" s="4"/>
      <c r="BU4" s="4"/>
      <c r="BV4" s="4"/>
    </row>
    <row r="5" spans="1:74" x14ac:dyDescent="0.25">
      <c r="A5" s="5" t="s">
        <v>82</v>
      </c>
      <c r="B5" s="5" t="s">
        <v>75</v>
      </c>
      <c r="C5" s="5" t="s">
        <v>83</v>
      </c>
      <c r="D5" s="5" t="s">
        <v>77</v>
      </c>
      <c r="E5" s="4"/>
      <c r="F5" s="4"/>
      <c r="G5" s="4"/>
      <c r="H5" s="4">
        <v>1.2500000000000001E-2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>
        <v>2.2499999999999999E-2</v>
      </c>
      <c r="AL5" s="4"/>
      <c r="AM5" s="4"/>
      <c r="AN5" s="4"/>
      <c r="AO5" s="4"/>
      <c r="AP5" s="4"/>
      <c r="AQ5" s="4">
        <v>6.0000000000000001E-3</v>
      </c>
      <c r="AR5" s="4"/>
      <c r="AS5" s="4"/>
      <c r="AT5" s="4"/>
      <c r="AU5" s="4"/>
      <c r="AV5" s="4"/>
      <c r="AW5" s="4"/>
      <c r="AX5" s="4"/>
      <c r="AY5" s="4"/>
      <c r="AZ5" s="4"/>
      <c r="BA5" s="4">
        <v>0.03</v>
      </c>
      <c r="BB5" s="4"/>
      <c r="BC5" s="4">
        <v>0.05</v>
      </c>
      <c r="BD5" s="4"/>
      <c r="BE5" s="4"/>
      <c r="BF5" s="4"/>
      <c r="BG5" s="4"/>
      <c r="BH5" s="4"/>
      <c r="BI5" s="4"/>
      <c r="BJ5" s="4"/>
      <c r="BK5" s="4"/>
      <c r="BL5" s="4"/>
      <c r="BM5" s="4">
        <v>0.04</v>
      </c>
      <c r="BN5" s="4"/>
      <c r="BO5" s="4"/>
      <c r="BP5" s="4"/>
      <c r="BQ5" s="4">
        <v>0.14000000000000001</v>
      </c>
      <c r="BR5" s="4"/>
      <c r="BS5" s="4">
        <v>0.15</v>
      </c>
      <c r="BT5" s="4"/>
      <c r="BU5" s="4"/>
      <c r="BV5" s="4"/>
    </row>
    <row r="6" spans="1:74" x14ac:dyDescent="0.25">
      <c r="A6" s="3" t="s">
        <v>84</v>
      </c>
      <c r="B6" s="3" t="s">
        <v>75</v>
      </c>
      <c r="C6" s="3" t="s">
        <v>85</v>
      </c>
      <c r="D6" s="3" t="s">
        <v>77</v>
      </c>
      <c r="E6" s="4"/>
      <c r="F6" s="4"/>
      <c r="G6" s="4"/>
      <c r="H6" s="4">
        <v>1.2500000000000001E-2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>
        <v>1.2E-2</v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0.1</v>
      </c>
      <c r="BD6" s="4"/>
      <c r="BE6" s="4"/>
      <c r="BF6" s="4"/>
      <c r="BG6" s="4"/>
      <c r="BH6" s="4"/>
      <c r="BI6" s="4"/>
      <c r="BJ6" s="4"/>
      <c r="BK6" s="4"/>
      <c r="BL6" s="4"/>
      <c r="BM6" s="4">
        <v>0.04</v>
      </c>
      <c r="BN6" s="4"/>
      <c r="BO6" s="4"/>
      <c r="BP6" s="4"/>
      <c r="BQ6" s="4"/>
      <c r="BR6" s="4"/>
      <c r="BS6" s="4"/>
      <c r="BT6" s="4"/>
      <c r="BU6" s="4"/>
      <c r="BV6" s="4"/>
    </row>
    <row r="7" spans="1:74" x14ac:dyDescent="0.25">
      <c r="A7" s="5" t="s">
        <v>86</v>
      </c>
      <c r="B7" s="5" t="s">
        <v>75</v>
      </c>
      <c r="C7" s="5" t="s">
        <v>87</v>
      </c>
      <c r="D7" s="5" t="s">
        <v>77</v>
      </c>
      <c r="E7" s="4"/>
      <c r="F7" s="4"/>
      <c r="G7" s="4"/>
      <c r="H7" s="4">
        <v>1.2500000000000001E-2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>
        <v>4.4999999999999998E-2</v>
      </c>
      <c r="AL7" s="4"/>
      <c r="AM7" s="4"/>
      <c r="AN7" s="4"/>
      <c r="AO7" s="4"/>
      <c r="AP7" s="4"/>
      <c r="AQ7" s="4">
        <v>1.2E-2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0.1</v>
      </c>
      <c r="BD7" s="4"/>
      <c r="BE7" s="4"/>
      <c r="BF7" s="4"/>
      <c r="BG7" s="4"/>
      <c r="BH7" s="4"/>
      <c r="BI7" s="4"/>
      <c r="BJ7" s="4"/>
      <c r="BK7" s="4"/>
      <c r="BL7" s="4"/>
      <c r="BM7" s="4">
        <v>0.04</v>
      </c>
      <c r="BN7" s="4"/>
      <c r="BO7" s="4"/>
      <c r="BP7" s="4"/>
      <c r="BQ7" s="4">
        <v>0.27</v>
      </c>
      <c r="BR7" s="4"/>
      <c r="BS7" s="4"/>
      <c r="BT7" s="4"/>
      <c r="BU7" s="4"/>
      <c r="BV7" s="4"/>
    </row>
    <row r="8" spans="1:74" x14ac:dyDescent="0.25">
      <c r="A8" s="3" t="s">
        <v>88</v>
      </c>
      <c r="B8" s="3" t="s">
        <v>75</v>
      </c>
      <c r="C8" s="3" t="s">
        <v>89</v>
      </c>
      <c r="D8" s="3" t="s">
        <v>77</v>
      </c>
      <c r="E8" s="4"/>
      <c r="F8" s="4"/>
      <c r="G8" s="4"/>
      <c r="H8" s="4">
        <v>1.2500000000000001E-2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4.4999999999999998E-2</v>
      </c>
      <c r="AM8" s="4"/>
      <c r="AN8" s="4"/>
      <c r="AO8" s="4"/>
      <c r="AP8" s="4"/>
      <c r="AQ8" s="4">
        <v>1.2E-2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0.1</v>
      </c>
      <c r="BD8" s="4"/>
      <c r="BE8" s="4"/>
      <c r="BF8" s="4"/>
      <c r="BG8" s="4"/>
      <c r="BH8" s="4"/>
      <c r="BI8" s="4"/>
      <c r="BJ8" s="4"/>
      <c r="BK8" s="4"/>
      <c r="BL8" s="4"/>
      <c r="BM8" s="4">
        <v>0.04</v>
      </c>
      <c r="BN8" s="4"/>
      <c r="BO8" s="4"/>
      <c r="BP8" s="4"/>
      <c r="BQ8" s="4">
        <v>0.27</v>
      </c>
      <c r="BR8" s="4"/>
      <c r="BS8" s="4"/>
      <c r="BT8" s="4"/>
      <c r="BU8" s="4"/>
      <c r="BV8" s="4"/>
    </row>
    <row r="9" spans="1:74" x14ac:dyDescent="0.25">
      <c r="A9" s="5" t="s">
        <v>90</v>
      </c>
      <c r="B9" s="5" t="s">
        <v>75</v>
      </c>
      <c r="C9" s="5" t="s">
        <v>91</v>
      </c>
      <c r="D9" s="5" t="s">
        <v>77</v>
      </c>
      <c r="E9" s="4"/>
      <c r="F9" s="4"/>
      <c r="G9" s="4"/>
      <c r="H9" s="4">
        <v>1.2500000000000001E-2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4.4999999999999998E-2</v>
      </c>
      <c r="AL9" s="4"/>
      <c r="AM9" s="4"/>
      <c r="AN9" s="4"/>
      <c r="AO9" s="4"/>
      <c r="AP9" s="4"/>
      <c r="AQ9" s="4">
        <v>1.2E-2</v>
      </c>
      <c r="AR9" s="4"/>
      <c r="AS9" s="4"/>
      <c r="AT9" s="4"/>
      <c r="AU9" s="4"/>
      <c r="AV9" s="4"/>
      <c r="AW9" s="4"/>
      <c r="AX9" s="4"/>
      <c r="AY9" s="4"/>
      <c r="AZ9" s="4"/>
      <c r="BA9" s="4">
        <v>0.03</v>
      </c>
      <c r="BB9" s="4"/>
      <c r="BC9" s="4">
        <v>0.1</v>
      </c>
      <c r="BD9" s="4"/>
      <c r="BE9" s="4"/>
      <c r="BF9" s="4"/>
      <c r="BG9" s="4"/>
      <c r="BH9" s="4"/>
      <c r="BI9" s="4"/>
      <c r="BJ9" s="4"/>
      <c r="BK9" s="4"/>
      <c r="BL9" s="4"/>
      <c r="BM9" s="4">
        <v>0.04</v>
      </c>
      <c r="BN9" s="4"/>
      <c r="BO9" s="4"/>
      <c r="BP9" s="4"/>
      <c r="BQ9" s="4">
        <v>0.27</v>
      </c>
      <c r="BR9" s="4"/>
      <c r="BS9" s="4">
        <v>0.15</v>
      </c>
      <c r="BT9" s="4"/>
      <c r="BU9" s="4"/>
      <c r="BV9" s="4"/>
    </row>
    <row r="10" spans="1:74" x14ac:dyDescent="0.25">
      <c r="A10" s="3" t="s">
        <v>92</v>
      </c>
      <c r="B10" s="3" t="s">
        <v>75</v>
      </c>
      <c r="C10" s="3" t="s">
        <v>93</v>
      </c>
      <c r="D10" s="3" t="s">
        <v>77</v>
      </c>
      <c r="E10" s="4"/>
      <c r="F10" s="4"/>
      <c r="G10" s="4"/>
      <c r="H10" s="4"/>
      <c r="I10" s="4"/>
      <c r="J10" s="4"/>
      <c r="K10" s="4"/>
      <c r="L10" s="4"/>
      <c r="M10" s="4">
        <v>1.2500000000000001E-2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>
        <v>6.0000000000000001E-3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0.05</v>
      </c>
      <c r="BD10" s="4"/>
      <c r="BE10" s="4"/>
      <c r="BF10" s="4"/>
      <c r="BG10" s="4"/>
      <c r="BH10" s="4"/>
      <c r="BI10" s="4"/>
      <c r="BJ10" s="4"/>
      <c r="BK10" s="4"/>
      <c r="BL10" s="4"/>
      <c r="BM10" s="4">
        <v>0.04</v>
      </c>
      <c r="BN10" s="4"/>
      <c r="BO10" s="4"/>
      <c r="BP10" s="4"/>
      <c r="BQ10" s="4"/>
      <c r="BR10" s="4"/>
      <c r="BS10" s="4"/>
      <c r="BT10" s="4"/>
      <c r="BU10" s="4"/>
      <c r="BV10" s="4"/>
    </row>
    <row r="11" spans="1:74" x14ac:dyDescent="0.25">
      <c r="A11" s="5" t="s">
        <v>94</v>
      </c>
      <c r="B11" s="5" t="s">
        <v>75</v>
      </c>
      <c r="C11" s="5" t="s">
        <v>95</v>
      </c>
      <c r="D11" s="5" t="s">
        <v>77</v>
      </c>
      <c r="E11" s="4"/>
      <c r="F11" s="4"/>
      <c r="G11" s="4"/>
      <c r="H11" s="4"/>
      <c r="I11" s="4"/>
      <c r="J11" s="4"/>
      <c r="K11" s="4"/>
      <c r="L11" s="4"/>
      <c r="M11" s="4">
        <v>1.2500000000000001E-2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2.2499999999999999E-2</v>
      </c>
      <c r="AL11" s="4"/>
      <c r="AM11" s="4"/>
      <c r="AN11" s="4"/>
      <c r="AO11" s="4"/>
      <c r="AP11" s="4"/>
      <c r="AQ11" s="4">
        <v>6.0000000000000001E-3</v>
      </c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0.05</v>
      </c>
      <c r="BD11" s="4"/>
      <c r="BE11" s="4"/>
      <c r="BF11" s="4"/>
      <c r="BG11" s="4"/>
      <c r="BH11" s="4"/>
      <c r="BI11" s="4"/>
      <c r="BJ11" s="4"/>
      <c r="BK11" s="4"/>
      <c r="BL11" s="4"/>
      <c r="BM11" s="4">
        <v>0.04</v>
      </c>
      <c r="BN11" s="4"/>
      <c r="BO11" s="4"/>
      <c r="BP11" s="4"/>
      <c r="BQ11" s="4">
        <v>0.14000000000000001</v>
      </c>
      <c r="BR11" s="4"/>
      <c r="BS11" s="4"/>
      <c r="BT11" s="4"/>
      <c r="BU11" s="4"/>
      <c r="BV11" s="4"/>
    </row>
    <row r="12" spans="1:74" x14ac:dyDescent="0.25">
      <c r="A12" s="3" t="s">
        <v>96</v>
      </c>
      <c r="B12" s="3" t="s">
        <v>75</v>
      </c>
      <c r="C12" s="3" t="s">
        <v>97</v>
      </c>
      <c r="D12" s="3" t="s">
        <v>77</v>
      </c>
      <c r="E12" s="4"/>
      <c r="F12" s="4"/>
      <c r="G12" s="4"/>
      <c r="H12" s="4"/>
      <c r="I12" s="4"/>
      <c r="J12" s="4"/>
      <c r="K12" s="4"/>
      <c r="L12" s="4"/>
      <c r="M12" s="4">
        <v>1.2500000000000001E-2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>
        <v>2.2499999999999999E-2</v>
      </c>
      <c r="AM12" s="4"/>
      <c r="AN12" s="4"/>
      <c r="AO12" s="4"/>
      <c r="AP12" s="4"/>
      <c r="AQ12" s="4">
        <v>6.0000000000000001E-3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0.05</v>
      </c>
      <c r="BD12" s="4"/>
      <c r="BE12" s="4"/>
      <c r="BF12" s="4"/>
      <c r="BG12" s="4"/>
      <c r="BH12" s="4"/>
      <c r="BI12" s="4"/>
      <c r="BJ12" s="4"/>
      <c r="BK12" s="4"/>
      <c r="BL12" s="4"/>
      <c r="BM12" s="4">
        <v>0.04</v>
      </c>
      <c r="BN12" s="4"/>
      <c r="BO12" s="4"/>
      <c r="BP12" s="4"/>
      <c r="BQ12" s="4">
        <v>0.14000000000000001</v>
      </c>
      <c r="BR12" s="4"/>
      <c r="BS12" s="4"/>
      <c r="BT12" s="4"/>
      <c r="BU12" s="4"/>
      <c r="BV12" s="4"/>
    </row>
    <row r="13" spans="1:74" x14ac:dyDescent="0.25">
      <c r="A13" s="5" t="s">
        <v>98</v>
      </c>
      <c r="B13" s="5" t="s">
        <v>75</v>
      </c>
      <c r="C13" s="5" t="s">
        <v>99</v>
      </c>
      <c r="D13" s="5" t="s">
        <v>77</v>
      </c>
      <c r="E13" s="4"/>
      <c r="F13" s="4"/>
      <c r="G13" s="4"/>
      <c r="H13" s="4"/>
      <c r="I13" s="4"/>
      <c r="J13" s="4"/>
      <c r="K13" s="4"/>
      <c r="L13" s="4"/>
      <c r="M13" s="4">
        <v>1.2500000000000001E-2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2.2499999999999999E-2</v>
      </c>
      <c r="AL13" s="4"/>
      <c r="AM13" s="4"/>
      <c r="AN13" s="4"/>
      <c r="AO13" s="4"/>
      <c r="AP13" s="4"/>
      <c r="AQ13" s="4">
        <v>6.0000000000000001E-3</v>
      </c>
      <c r="AR13" s="4"/>
      <c r="AS13" s="4"/>
      <c r="AT13" s="4"/>
      <c r="AU13" s="4"/>
      <c r="AV13" s="4"/>
      <c r="AW13" s="4"/>
      <c r="AX13" s="4"/>
      <c r="AY13" s="4"/>
      <c r="AZ13" s="4"/>
      <c r="BA13" s="4">
        <v>0.03</v>
      </c>
      <c r="BB13" s="4"/>
      <c r="BC13" s="4">
        <v>0.05</v>
      </c>
      <c r="BD13" s="4"/>
      <c r="BE13" s="4"/>
      <c r="BF13" s="4"/>
      <c r="BG13" s="4"/>
      <c r="BH13" s="4"/>
      <c r="BI13" s="4"/>
      <c r="BJ13" s="4"/>
      <c r="BK13" s="4"/>
      <c r="BL13" s="4"/>
      <c r="BM13" s="4">
        <v>0.04</v>
      </c>
      <c r="BN13" s="4"/>
      <c r="BO13" s="4"/>
      <c r="BP13" s="4"/>
      <c r="BQ13" s="4">
        <v>0.14000000000000001</v>
      </c>
      <c r="BR13" s="4"/>
      <c r="BS13" s="4">
        <v>0.15</v>
      </c>
      <c r="BT13" s="4"/>
      <c r="BU13" s="4"/>
      <c r="BV13" s="4"/>
    </row>
    <row r="14" spans="1:74" x14ac:dyDescent="0.25">
      <c r="A14" s="3" t="s">
        <v>100</v>
      </c>
      <c r="B14" s="3" t="s">
        <v>75</v>
      </c>
      <c r="C14" s="3" t="s">
        <v>101</v>
      </c>
      <c r="D14" s="3" t="s">
        <v>77</v>
      </c>
      <c r="E14" s="4"/>
      <c r="F14" s="4"/>
      <c r="G14" s="4"/>
      <c r="H14" s="4"/>
      <c r="I14" s="4"/>
      <c r="J14" s="4"/>
      <c r="K14" s="4"/>
      <c r="L14" s="4"/>
      <c r="M14" s="4">
        <v>1.2500000000000001E-2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>
        <v>1.2E-2</v>
      </c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0.1</v>
      </c>
      <c r="BD14" s="4"/>
      <c r="BE14" s="4"/>
      <c r="BF14" s="4"/>
      <c r="BG14" s="4"/>
      <c r="BH14" s="4"/>
      <c r="BI14" s="4"/>
      <c r="BJ14" s="4"/>
      <c r="BK14" s="4"/>
      <c r="BL14" s="4"/>
      <c r="BM14" s="4">
        <v>0.04</v>
      </c>
      <c r="BN14" s="4"/>
      <c r="BO14" s="4"/>
      <c r="BP14" s="4"/>
      <c r="BQ14" s="4"/>
      <c r="BR14" s="4"/>
      <c r="BS14" s="4"/>
      <c r="BT14" s="4"/>
      <c r="BU14" s="4"/>
      <c r="BV14" s="4"/>
    </row>
    <row r="15" spans="1:74" x14ac:dyDescent="0.25">
      <c r="A15" s="5" t="s">
        <v>102</v>
      </c>
      <c r="B15" s="5" t="s">
        <v>75</v>
      </c>
      <c r="C15" s="5" t="s">
        <v>103</v>
      </c>
      <c r="D15" s="5" t="s">
        <v>77</v>
      </c>
      <c r="E15" s="4"/>
      <c r="F15" s="4"/>
      <c r="G15" s="4"/>
      <c r="H15" s="4"/>
      <c r="I15" s="4"/>
      <c r="J15" s="4"/>
      <c r="K15" s="4"/>
      <c r="L15" s="4"/>
      <c r="M15" s="4">
        <v>1.2500000000000001E-2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4.4999999999999998E-2</v>
      </c>
      <c r="AL15" s="4"/>
      <c r="AM15" s="4"/>
      <c r="AN15" s="4"/>
      <c r="AO15" s="4"/>
      <c r="AP15" s="4"/>
      <c r="AQ15" s="4">
        <v>1.2E-2</v>
      </c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0.1</v>
      </c>
      <c r="BD15" s="4"/>
      <c r="BE15" s="4"/>
      <c r="BF15" s="4"/>
      <c r="BG15" s="4"/>
      <c r="BH15" s="4"/>
      <c r="BI15" s="4"/>
      <c r="BJ15" s="4"/>
      <c r="BK15" s="4"/>
      <c r="BL15" s="4"/>
      <c r="BM15" s="4">
        <v>0.04</v>
      </c>
      <c r="BN15" s="4"/>
      <c r="BO15" s="4"/>
      <c r="BP15" s="4"/>
      <c r="BQ15" s="4">
        <v>0.27</v>
      </c>
      <c r="BR15" s="4"/>
      <c r="BS15" s="4"/>
      <c r="BT15" s="4"/>
      <c r="BU15" s="4"/>
      <c r="BV15" s="4"/>
    </row>
    <row r="16" spans="1:74" x14ac:dyDescent="0.25">
      <c r="A16" s="3" t="s">
        <v>104</v>
      </c>
      <c r="B16" s="3" t="s">
        <v>75</v>
      </c>
      <c r="C16" s="3" t="s">
        <v>105</v>
      </c>
      <c r="D16" s="3" t="s">
        <v>77</v>
      </c>
      <c r="E16" s="4"/>
      <c r="F16" s="4"/>
      <c r="G16" s="4"/>
      <c r="H16" s="4"/>
      <c r="I16" s="4"/>
      <c r="J16" s="4"/>
      <c r="K16" s="4"/>
      <c r="L16" s="4"/>
      <c r="M16" s="4">
        <v>1.2500000000000001E-2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>
        <v>4.4999999999999998E-2</v>
      </c>
      <c r="AM16" s="4"/>
      <c r="AN16" s="4"/>
      <c r="AO16" s="4"/>
      <c r="AP16" s="4"/>
      <c r="AQ16" s="4">
        <v>1.2E-2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0.1</v>
      </c>
      <c r="BD16" s="4"/>
      <c r="BE16" s="4"/>
      <c r="BF16" s="4"/>
      <c r="BG16" s="4"/>
      <c r="BH16" s="4"/>
      <c r="BI16" s="4"/>
      <c r="BJ16" s="4"/>
      <c r="BK16" s="4"/>
      <c r="BL16" s="4"/>
      <c r="BM16" s="4">
        <v>0.04</v>
      </c>
      <c r="BN16" s="4"/>
      <c r="BO16" s="4"/>
      <c r="BP16" s="4"/>
      <c r="BQ16" s="4">
        <v>0.27</v>
      </c>
      <c r="BR16" s="4"/>
      <c r="BS16" s="4"/>
      <c r="BT16" s="4"/>
      <c r="BU16" s="4"/>
      <c r="BV16" s="4"/>
    </row>
    <row r="17" spans="1:74" x14ac:dyDescent="0.25">
      <c r="A17" s="5" t="s">
        <v>106</v>
      </c>
      <c r="B17" s="5" t="s">
        <v>75</v>
      </c>
      <c r="C17" s="5" t="s">
        <v>107</v>
      </c>
      <c r="D17" s="5" t="s">
        <v>77</v>
      </c>
      <c r="E17" s="4"/>
      <c r="F17" s="4"/>
      <c r="G17" s="4"/>
      <c r="H17" s="4"/>
      <c r="I17" s="4"/>
      <c r="J17" s="4"/>
      <c r="K17" s="4"/>
      <c r="L17" s="4"/>
      <c r="M17" s="4">
        <v>1.2500000000000001E-2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>
        <v>4.4999999999999998E-2</v>
      </c>
      <c r="AL17" s="4"/>
      <c r="AM17" s="4"/>
      <c r="AN17" s="4"/>
      <c r="AO17" s="4"/>
      <c r="AP17" s="4"/>
      <c r="AQ17" s="4">
        <v>1.2E-2</v>
      </c>
      <c r="AR17" s="4"/>
      <c r="AS17" s="4"/>
      <c r="AT17" s="4"/>
      <c r="AU17" s="4"/>
      <c r="AV17" s="4"/>
      <c r="AW17" s="4"/>
      <c r="AX17" s="4"/>
      <c r="AY17" s="4"/>
      <c r="AZ17" s="4"/>
      <c r="BA17" s="4">
        <v>0.03</v>
      </c>
      <c r="BB17" s="4"/>
      <c r="BC17" s="4">
        <v>0.1</v>
      </c>
      <c r="BD17" s="4"/>
      <c r="BE17" s="4"/>
      <c r="BF17" s="4"/>
      <c r="BG17" s="4"/>
      <c r="BH17" s="4"/>
      <c r="BI17" s="4"/>
      <c r="BJ17" s="4"/>
      <c r="BK17" s="4"/>
      <c r="BL17" s="4"/>
      <c r="BM17" s="4">
        <v>0.04</v>
      </c>
      <c r="BN17" s="4"/>
      <c r="BO17" s="4"/>
      <c r="BP17" s="4"/>
      <c r="BQ17" s="4">
        <v>0.27</v>
      </c>
      <c r="BR17" s="4"/>
      <c r="BS17" s="4">
        <v>0.15</v>
      </c>
      <c r="BT17" s="4"/>
      <c r="BU17" s="4"/>
      <c r="BV17" s="4"/>
    </row>
    <row r="18" spans="1:74" x14ac:dyDescent="0.25">
      <c r="A18" s="3" t="s">
        <v>108</v>
      </c>
      <c r="B18" s="3" t="s">
        <v>109</v>
      </c>
      <c r="C18" s="3" t="s">
        <v>110</v>
      </c>
      <c r="D18" s="3" t="s">
        <v>77</v>
      </c>
      <c r="E18" s="21">
        <v>3.2800000000000003E-2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>
        <v>1.5800000000000002E-2</v>
      </c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0.13</v>
      </c>
      <c r="BD18" s="4"/>
      <c r="BE18" s="4"/>
      <c r="BF18" s="4"/>
      <c r="BG18" s="4"/>
      <c r="BH18" s="4"/>
      <c r="BI18" s="4"/>
      <c r="BJ18" s="4"/>
      <c r="BK18" s="4"/>
      <c r="BL18" s="4"/>
      <c r="BM18" s="4">
        <v>0.06</v>
      </c>
      <c r="BN18" s="4"/>
      <c r="BO18" s="4"/>
      <c r="BP18" s="4"/>
      <c r="BQ18" s="4"/>
      <c r="BR18" s="4"/>
      <c r="BS18" s="4"/>
      <c r="BT18" s="4"/>
      <c r="BU18" s="4"/>
      <c r="BV18" s="4"/>
    </row>
    <row r="19" spans="1:74" x14ac:dyDescent="0.25">
      <c r="A19" s="5" t="s">
        <v>111</v>
      </c>
      <c r="B19" s="5" t="s">
        <v>109</v>
      </c>
      <c r="C19" s="5" t="s">
        <v>112</v>
      </c>
      <c r="D19" s="5" t="s">
        <v>77</v>
      </c>
      <c r="E19" s="4">
        <v>3.2800000000000003E-2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>
        <v>3.15E-2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0.26</v>
      </c>
      <c r="BD19" s="4"/>
      <c r="BE19" s="4"/>
      <c r="BF19" s="4"/>
      <c r="BG19" s="4"/>
      <c r="BH19" s="4"/>
      <c r="BI19" s="4"/>
      <c r="BJ19" s="4"/>
      <c r="BK19" s="4"/>
      <c r="BL19" s="4"/>
      <c r="BM19" s="4">
        <v>0.06</v>
      </c>
      <c r="BN19" s="4"/>
      <c r="BO19" s="4"/>
      <c r="BP19" s="4"/>
      <c r="BQ19" s="4"/>
      <c r="BR19" s="4"/>
      <c r="BS19" s="4"/>
      <c r="BT19" s="4"/>
      <c r="BU19" s="4"/>
      <c r="BV19" s="4"/>
    </row>
    <row r="20" spans="1:74" x14ac:dyDescent="0.25">
      <c r="A20" s="3" t="s">
        <v>113</v>
      </c>
      <c r="B20" s="3" t="s">
        <v>109</v>
      </c>
      <c r="C20" s="3" t="s">
        <v>114</v>
      </c>
      <c r="D20" s="3" t="s">
        <v>77</v>
      </c>
      <c r="E20" s="4"/>
      <c r="F20" s="4">
        <v>3.2800000000000003E-2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>
        <v>1.5800000000000002E-2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0.13</v>
      </c>
      <c r="BD20" s="4"/>
      <c r="BE20" s="4"/>
      <c r="BF20" s="4"/>
      <c r="BG20" s="4"/>
      <c r="BH20" s="4"/>
      <c r="BI20" s="4"/>
      <c r="BJ20" s="4"/>
      <c r="BK20" s="4"/>
      <c r="BL20" s="4"/>
      <c r="BM20" s="4">
        <v>0.06</v>
      </c>
      <c r="BN20" s="4"/>
      <c r="BO20" s="4"/>
      <c r="BP20" s="4"/>
      <c r="BQ20" s="4"/>
      <c r="BR20" s="4"/>
      <c r="BS20" s="4"/>
      <c r="BT20" s="4"/>
      <c r="BU20" s="4"/>
      <c r="BV20" s="4"/>
    </row>
    <row r="21" spans="1:74" x14ac:dyDescent="0.25">
      <c r="A21" s="5" t="s">
        <v>115</v>
      </c>
      <c r="B21" s="5" t="s">
        <v>109</v>
      </c>
      <c r="C21" s="5" t="s">
        <v>116</v>
      </c>
      <c r="D21" s="5" t="s">
        <v>77</v>
      </c>
      <c r="E21" s="4"/>
      <c r="F21" s="4">
        <v>3.2800000000000003E-2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>
        <v>3.15E-2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0.26</v>
      </c>
      <c r="BD21" s="4"/>
      <c r="BE21" s="4"/>
      <c r="BF21" s="4"/>
      <c r="BG21" s="4"/>
      <c r="BH21" s="4"/>
      <c r="BI21" s="4"/>
      <c r="BJ21" s="4"/>
      <c r="BK21" s="4"/>
      <c r="BL21" s="4"/>
      <c r="BM21" s="4">
        <v>0.06</v>
      </c>
      <c r="BN21" s="4"/>
      <c r="BO21" s="4"/>
      <c r="BP21" s="4"/>
      <c r="BQ21" s="4"/>
      <c r="BR21" s="4"/>
      <c r="BS21" s="4"/>
      <c r="BT21" s="4"/>
      <c r="BU21" s="4"/>
      <c r="BV21" s="4"/>
    </row>
    <row r="22" spans="1:74" x14ac:dyDescent="0.25">
      <c r="A22" s="3" t="s">
        <v>117</v>
      </c>
      <c r="B22" s="3" t="s">
        <v>109</v>
      </c>
      <c r="C22" s="3" t="s">
        <v>118</v>
      </c>
      <c r="D22" s="3" t="s">
        <v>77</v>
      </c>
      <c r="E22" s="4"/>
      <c r="F22" s="4"/>
      <c r="G22" s="4">
        <v>3.2800000000000003E-2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>
        <v>1.5800000000000002E-2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0.13</v>
      </c>
      <c r="BD22" s="4"/>
      <c r="BE22" s="4"/>
      <c r="BF22" s="4"/>
      <c r="BG22" s="4"/>
      <c r="BH22" s="4"/>
      <c r="BI22" s="4"/>
      <c r="BJ22" s="4"/>
      <c r="BK22" s="4"/>
      <c r="BL22" s="4"/>
      <c r="BM22" s="4">
        <v>0.06</v>
      </c>
      <c r="BN22" s="4"/>
      <c r="BO22" s="4"/>
      <c r="BP22" s="4"/>
      <c r="BQ22" s="4"/>
      <c r="BR22" s="4"/>
      <c r="BS22" s="4"/>
      <c r="BT22" s="4"/>
      <c r="BU22" s="4"/>
      <c r="BV22" s="4"/>
    </row>
    <row r="23" spans="1:74" x14ac:dyDescent="0.25">
      <c r="A23" s="5" t="s">
        <v>119</v>
      </c>
      <c r="B23" s="5" t="s">
        <v>109</v>
      </c>
      <c r="C23" s="5" t="s">
        <v>120</v>
      </c>
      <c r="D23" s="5" t="s">
        <v>77</v>
      </c>
      <c r="E23" s="4"/>
      <c r="F23" s="4"/>
      <c r="G23" s="4">
        <v>3.2800000000000003E-2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>
        <v>3.15E-2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0.26</v>
      </c>
      <c r="BD23" s="4"/>
      <c r="BE23" s="4"/>
      <c r="BF23" s="4"/>
      <c r="BG23" s="4"/>
      <c r="BH23" s="4"/>
      <c r="BI23" s="4"/>
      <c r="BJ23" s="4"/>
      <c r="BK23" s="4"/>
      <c r="BL23" s="4"/>
      <c r="BM23" s="4">
        <v>0.06</v>
      </c>
      <c r="BN23" s="4"/>
      <c r="BO23" s="4"/>
      <c r="BP23" s="4"/>
      <c r="BQ23" s="4"/>
      <c r="BR23" s="4"/>
      <c r="BS23" s="4"/>
      <c r="BT23" s="4"/>
      <c r="BU23" s="4"/>
      <c r="BV23" s="4"/>
    </row>
    <row r="24" spans="1:74" x14ac:dyDescent="0.25">
      <c r="A24" s="3" t="s">
        <v>121</v>
      </c>
      <c r="B24" s="3" t="s">
        <v>109</v>
      </c>
      <c r="C24" s="3" t="s">
        <v>122</v>
      </c>
      <c r="D24" s="3" t="s">
        <v>77</v>
      </c>
      <c r="E24" s="4">
        <v>6.5600000000000006E-2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>
        <v>3.15E-2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0.26</v>
      </c>
      <c r="BD24" s="4"/>
      <c r="BE24" s="4"/>
      <c r="BF24" s="4"/>
      <c r="BG24" s="4"/>
      <c r="BH24" s="4"/>
      <c r="BI24" s="4"/>
      <c r="BJ24" s="4"/>
      <c r="BK24" s="4"/>
      <c r="BL24" s="4"/>
      <c r="BM24" s="4">
        <v>0.08</v>
      </c>
      <c r="BN24" s="4"/>
      <c r="BO24" s="4"/>
      <c r="BP24" s="4"/>
      <c r="BQ24" s="4"/>
      <c r="BR24" s="4"/>
      <c r="BS24" s="4"/>
      <c r="BT24" s="4"/>
      <c r="BU24" s="4"/>
      <c r="BV24" s="4"/>
    </row>
    <row r="25" spans="1:74" x14ac:dyDescent="0.25">
      <c r="A25" s="5" t="s">
        <v>123</v>
      </c>
      <c r="B25" s="5" t="s">
        <v>109</v>
      </c>
      <c r="C25" s="5" t="s">
        <v>124</v>
      </c>
      <c r="D25" s="5" t="s">
        <v>77</v>
      </c>
      <c r="E25" s="4">
        <v>6.5600000000000006E-2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>
        <v>6.3E-2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0.53</v>
      </c>
      <c r="BD25" s="4"/>
      <c r="BE25" s="4"/>
      <c r="BF25" s="4"/>
      <c r="BG25" s="4"/>
      <c r="BH25" s="4"/>
      <c r="BI25" s="4"/>
      <c r="BJ25" s="4"/>
      <c r="BK25" s="4"/>
      <c r="BL25" s="4"/>
      <c r="BM25" s="4">
        <v>0.08</v>
      </c>
      <c r="BN25" s="4"/>
      <c r="BO25" s="4"/>
      <c r="BP25" s="4"/>
      <c r="BQ25" s="4"/>
      <c r="BR25" s="4"/>
      <c r="BS25" s="4"/>
      <c r="BT25" s="4"/>
      <c r="BU25" s="4"/>
      <c r="BV25" s="4"/>
    </row>
    <row r="26" spans="1:74" x14ac:dyDescent="0.25">
      <c r="A26" s="3" t="s">
        <v>125</v>
      </c>
      <c r="B26" s="3" t="s">
        <v>109</v>
      </c>
      <c r="C26" s="3" t="s">
        <v>126</v>
      </c>
      <c r="D26" s="3" t="s">
        <v>77</v>
      </c>
      <c r="E26" s="4"/>
      <c r="F26" s="4">
        <v>6.5600000000000006E-2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3.15E-2</v>
      </c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0.26</v>
      </c>
      <c r="BD26" s="4"/>
      <c r="BE26" s="4"/>
      <c r="BF26" s="4"/>
      <c r="BG26" s="4"/>
      <c r="BH26" s="4"/>
      <c r="BI26" s="4"/>
      <c r="BJ26" s="4"/>
      <c r="BK26" s="4"/>
      <c r="BL26" s="4"/>
      <c r="BM26" s="4">
        <v>0.08</v>
      </c>
      <c r="BN26" s="4"/>
      <c r="BO26" s="4"/>
      <c r="BP26" s="4"/>
      <c r="BQ26" s="4"/>
      <c r="BR26" s="4"/>
      <c r="BS26" s="4"/>
      <c r="BT26" s="4"/>
      <c r="BU26" s="4"/>
      <c r="BV26" s="4"/>
    </row>
    <row r="27" spans="1:74" x14ac:dyDescent="0.25">
      <c r="A27" s="5" t="s">
        <v>127</v>
      </c>
      <c r="B27" s="5" t="s">
        <v>109</v>
      </c>
      <c r="C27" s="5" t="s">
        <v>128</v>
      </c>
      <c r="D27" s="5" t="s">
        <v>77</v>
      </c>
      <c r="E27" s="4"/>
      <c r="F27" s="4">
        <v>6.5600000000000006E-2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>
        <v>6.3E-2</v>
      </c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0.53</v>
      </c>
      <c r="BD27" s="4"/>
      <c r="BE27" s="4"/>
      <c r="BF27" s="4"/>
      <c r="BG27" s="4"/>
      <c r="BH27" s="4"/>
      <c r="BI27" s="4"/>
      <c r="BJ27" s="4"/>
      <c r="BK27" s="4"/>
      <c r="BL27" s="4"/>
      <c r="BM27" s="4">
        <v>0.08</v>
      </c>
      <c r="BN27" s="4"/>
      <c r="BO27" s="4"/>
      <c r="BP27" s="4"/>
      <c r="BQ27" s="4"/>
      <c r="BR27" s="4"/>
      <c r="BS27" s="4"/>
      <c r="BT27" s="4"/>
      <c r="BU27" s="4"/>
      <c r="BV27" s="4"/>
    </row>
    <row r="28" spans="1:74" x14ac:dyDescent="0.25">
      <c r="A28" s="3" t="s">
        <v>129</v>
      </c>
      <c r="B28" s="3" t="s">
        <v>109</v>
      </c>
      <c r="C28" s="3" t="s">
        <v>130</v>
      </c>
      <c r="D28" s="3" t="s">
        <v>77</v>
      </c>
      <c r="E28" s="4"/>
      <c r="F28" s="4"/>
      <c r="G28" s="4">
        <v>6.5600000000000006E-2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>
        <v>3.15E-2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0.26</v>
      </c>
      <c r="BD28" s="4"/>
      <c r="BE28" s="4"/>
      <c r="BF28" s="4"/>
      <c r="BG28" s="4"/>
      <c r="BH28" s="4"/>
      <c r="BI28" s="4"/>
      <c r="BJ28" s="4"/>
      <c r="BK28" s="4"/>
      <c r="BL28" s="4"/>
      <c r="BM28" s="4">
        <v>0.08</v>
      </c>
      <c r="BN28" s="4"/>
      <c r="BO28" s="4"/>
      <c r="BP28" s="4"/>
      <c r="BQ28" s="4"/>
      <c r="BR28" s="4"/>
      <c r="BS28" s="4"/>
      <c r="BT28" s="4"/>
      <c r="BU28" s="4"/>
      <c r="BV28" s="4"/>
    </row>
    <row r="29" spans="1:74" x14ac:dyDescent="0.25">
      <c r="A29" s="5" t="s">
        <v>131</v>
      </c>
      <c r="B29" s="5" t="s">
        <v>109</v>
      </c>
      <c r="C29" s="5" t="s">
        <v>132</v>
      </c>
      <c r="D29" s="5" t="s">
        <v>77</v>
      </c>
      <c r="E29" s="4"/>
      <c r="F29" s="4"/>
      <c r="G29" s="4">
        <v>6.5600000000000006E-2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>
        <v>6.3E-2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>
        <v>0.53</v>
      </c>
      <c r="BD29" s="4"/>
      <c r="BE29" s="4"/>
      <c r="BF29" s="4"/>
      <c r="BG29" s="4"/>
      <c r="BH29" s="4"/>
      <c r="BI29" s="4"/>
      <c r="BJ29" s="4"/>
      <c r="BK29" s="4"/>
      <c r="BL29" s="4"/>
      <c r="BM29" s="4">
        <v>0.08</v>
      </c>
      <c r="BN29" s="4"/>
      <c r="BO29" s="4"/>
      <c r="BP29" s="4"/>
      <c r="BQ29" s="4"/>
      <c r="BR29" s="4"/>
      <c r="BS29" s="4"/>
      <c r="BT29" s="4"/>
      <c r="BU29" s="4"/>
      <c r="BV29" s="4"/>
    </row>
    <row r="30" spans="1:74" x14ac:dyDescent="0.25">
      <c r="A30" s="3" t="s">
        <v>133</v>
      </c>
      <c r="B30" s="3" t="s">
        <v>109</v>
      </c>
      <c r="C30" s="3" t="s">
        <v>134</v>
      </c>
      <c r="D30" s="3" t="s">
        <v>77</v>
      </c>
      <c r="E30" s="4">
        <v>0.1313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>
        <v>6.3E-2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0.53</v>
      </c>
      <c r="BD30" s="4"/>
      <c r="BE30" s="4"/>
      <c r="BF30" s="4"/>
      <c r="BG30" s="4"/>
      <c r="BH30" s="4"/>
      <c r="BI30" s="4"/>
      <c r="BJ30" s="4"/>
      <c r="BK30" s="4"/>
      <c r="BL30" s="4"/>
      <c r="BM30" s="4">
        <v>0.14000000000000001</v>
      </c>
      <c r="BN30" s="4"/>
      <c r="BO30" s="4"/>
      <c r="BP30" s="4"/>
      <c r="BQ30" s="4"/>
      <c r="BR30" s="4"/>
      <c r="BS30" s="4"/>
      <c r="BT30" s="4"/>
      <c r="BU30" s="4"/>
      <c r="BV30" s="4"/>
    </row>
    <row r="31" spans="1:74" x14ac:dyDescent="0.25">
      <c r="A31" s="5" t="s">
        <v>135</v>
      </c>
      <c r="B31" s="5" t="s">
        <v>109</v>
      </c>
      <c r="C31" s="5" t="s">
        <v>136</v>
      </c>
      <c r="D31" s="5" t="s">
        <v>77</v>
      </c>
      <c r="E31" s="4">
        <v>0.1313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>
        <v>0.126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1.05</v>
      </c>
      <c r="BD31" s="4"/>
      <c r="BE31" s="4"/>
      <c r="BF31" s="4"/>
      <c r="BG31" s="4"/>
      <c r="BH31" s="4"/>
      <c r="BI31" s="4"/>
      <c r="BJ31" s="4"/>
      <c r="BK31" s="4"/>
      <c r="BL31" s="4"/>
      <c r="BM31" s="4">
        <v>0.14000000000000001</v>
      </c>
      <c r="BN31" s="4"/>
      <c r="BO31" s="4"/>
      <c r="BP31" s="4"/>
      <c r="BQ31" s="4"/>
      <c r="BR31" s="4"/>
      <c r="BS31" s="4"/>
      <c r="BT31" s="4"/>
      <c r="BU31" s="4"/>
      <c r="BV31" s="4"/>
    </row>
    <row r="32" spans="1:74" x14ac:dyDescent="0.25">
      <c r="A32" s="3" t="s">
        <v>137</v>
      </c>
      <c r="B32" s="3" t="s">
        <v>109</v>
      </c>
      <c r="C32" s="3" t="s">
        <v>138</v>
      </c>
      <c r="D32" s="3" t="s">
        <v>77</v>
      </c>
      <c r="E32" s="4"/>
      <c r="F32" s="4">
        <v>0.1313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>
        <v>6.3E-2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0.53</v>
      </c>
      <c r="BD32" s="4"/>
      <c r="BE32" s="4"/>
      <c r="BF32" s="4"/>
      <c r="BG32" s="4"/>
      <c r="BH32" s="4"/>
      <c r="BI32" s="4"/>
      <c r="BJ32" s="4"/>
      <c r="BK32" s="4"/>
      <c r="BL32" s="4"/>
      <c r="BM32" s="4">
        <v>0.14000000000000001</v>
      </c>
      <c r="BN32" s="4"/>
      <c r="BO32" s="4"/>
      <c r="BP32" s="4"/>
      <c r="BQ32" s="4"/>
      <c r="BR32" s="4"/>
      <c r="BS32" s="4"/>
      <c r="BT32" s="4"/>
      <c r="BU32" s="4"/>
      <c r="BV32" s="4"/>
    </row>
    <row r="33" spans="1:74" x14ac:dyDescent="0.25">
      <c r="A33" s="5" t="s">
        <v>139</v>
      </c>
      <c r="B33" s="5" t="s">
        <v>109</v>
      </c>
      <c r="C33" s="5" t="s">
        <v>140</v>
      </c>
      <c r="D33" s="5" t="s">
        <v>77</v>
      </c>
      <c r="E33" s="4"/>
      <c r="F33" s="4">
        <v>0.1313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>
        <v>0.126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1.05</v>
      </c>
      <c r="BD33" s="4"/>
      <c r="BE33" s="4"/>
      <c r="BF33" s="4"/>
      <c r="BG33" s="4"/>
      <c r="BH33" s="4"/>
      <c r="BI33" s="4"/>
      <c r="BJ33" s="4"/>
      <c r="BK33" s="4"/>
      <c r="BL33" s="4"/>
      <c r="BM33" s="4">
        <v>0.14000000000000001</v>
      </c>
      <c r="BN33" s="4"/>
      <c r="BO33" s="4"/>
      <c r="BP33" s="4"/>
      <c r="BQ33" s="4"/>
      <c r="BR33" s="4"/>
      <c r="BS33" s="4"/>
      <c r="BT33" s="4"/>
      <c r="BU33" s="4"/>
      <c r="BV33" s="4"/>
    </row>
    <row r="34" spans="1:74" x14ac:dyDescent="0.25">
      <c r="A34" s="3" t="s">
        <v>141</v>
      </c>
      <c r="B34" s="3" t="s">
        <v>109</v>
      </c>
      <c r="C34" s="3" t="s">
        <v>142</v>
      </c>
      <c r="D34" s="3" t="s">
        <v>77</v>
      </c>
      <c r="E34" s="4"/>
      <c r="F34" s="4"/>
      <c r="G34" s="4">
        <v>0.1313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>
        <v>6.3E-2</v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0.53</v>
      </c>
      <c r="BD34" s="4"/>
      <c r="BE34" s="4"/>
      <c r="BF34" s="4"/>
      <c r="BG34" s="4"/>
      <c r="BH34" s="4"/>
      <c r="BI34" s="4"/>
      <c r="BJ34" s="4"/>
      <c r="BK34" s="4"/>
      <c r="BL34" s="4"/>
      <c r="BM34" s="4">
        <v>0.14000000000000001</v>
      </c>
      <c r="BN34" s="4"/>
      <c r="BO34" s="4"/>
      <c r="BP34" s="4"/>
      <c r="BQ34" s="4"/>
      <c r="BR34" s="4"/>
      <c r="BS34" s="4"/>
      <c r="BT34" s="4"/>
      <c r="BU34" s="4"/>
      <c r="BV34" s="4"/>
    </row>
    <row r="35" spans="1:74" x14ac:dyDescent="0.25">
      <c r="A35" s="5" t="s">
        <v>143</v>
      </c>
      <c r="B35" s="5" t="s">
        <v>109</v>
      </c>
      <c r="C35" s="5" t="s">
        <v>144</v>
      </c>
      <c r="D35" s="5" t="s">
        <v>77</v>
      </c>
      <c r="E35" s="4"/>
      <c r="F35" s="4"/>
      <c r="G35" s="4">
        <v>0.1313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>
        <v>0.126</v>
      </c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1.05</v>
      </c>
      <c r="BD35" s="4"/>
      <c r="BE35" s="4"/>
      <c r="BF35" s="4"/>
      <c r="BG35" s="4"/>
      <c r="BH35" s="4"/>
      <c r="BI35" s="4"/>
      <c r="BJ35" s="4"/>
      <c r="BK35" s="4"/>
      <c r="BL35" s="4"/>
      <c r="BM35" s="4">
        <v>0.14000000000000001</v>
      </c>
      <c r="BN35" s="4"/>
      <c r="BO35" s="4"/>
      <c r="BP35" s="4"/>
      <c r="BQ35" s="4"/>
      <c r="BR35" s="4"/>
      <c r="BS35" s="4"/>
      <c r="BT35" s="4"/>
      <c r="BU35" s="4"/>
      <c r="BV35" s="4"/>
    </row>
    <row r="36" spans="1:74" x14ac:dyDescent="0.25">
      <c r="A36" s="3" t="s">
        <v>145</v>
      </c>
      <c r="B36" s="3" t="s">
        <v>109</v>
      </c>
      <c r="C36" s="3" t="s">
        <v>146</v>
      </c>
      <c r="D36" s="3" t="s">
        <v>77</v>
      </c>
      <c r="E36" s="4">
        <v>4.3799999999999999E-2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>
        <v>2.1000000000000001E-2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>
        <v>0.18</v>
      </c>
      <c r="BD36" s="4"/>
      <c r="BE36" s="4"/>
      <c r="BF36" s="4"/>
      <c r="BG36" s="4"/>
      <c r="BH36" s="4"/>
      <c r="BI36" s="4"/>
      <c r="BJ36" s="4"/>
      <c r="BK36" s="4"/>
      <c r="BL36" s="4"/>
      <c r="BM36" s="4">
        <v>7.0000000000000007E-2</v>
      </c>
      <c r="BN36" s="4"/>
      <c r="BO36" s="4"/>
      <c r="BP36" s="4"/>
      <c r="BQ36" s="4"/>
      <c r="BR36" s="4"/>
      <c r="BS36" s="4"/>
      <c r="BT36" s="4"/>
      <c r="BU36" s="4"/>
      <c r="BV36" s="4"/>
    </row>
    <row r="37" spans="1:74" x14ac:dyDescent="0.25">
      <c r="A37" s="5" t="s">
        <v>147</v>
      </c>
      <c r="B37" s="5" t="s">
        <v>109</v>
      </c>
      <c r="C37" s="5" t="s">
        <v>148</v>
      </c>
      <c r="D37" s="5" t="s">
        <v>77</v>
      </c>
      <c r="E37" s="4">
        <v>4.3799999999999999E-2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>
        <v>4.2000000000000003E-2</v>
      </c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0.35</v>
      </c>
      <c r="BD37" s="4"/>
      <c r="BE37" s="4"/>
      <c r="BF37" s="4"/>
      <c r="BG37" s="4"/>
      <c r="BH37" s="4"/>
      <c r="BI37" s="4"/>
      <c r="BJ37" s="4"/>
      <c r="BK37" s="4"/>
      <c r="BL37" s="4"/>
      <c r="BM37" s="4">
        <v>7.0000000000000007E-2</v>
      </c>
      <c r="BN37" s="4"/>
      <c r="BO37" s="4"/>
      <c r="BP37" s="4"/>
      <c r="BQ37" s="4"/>
      <c r="BR37" s="4"/>
      <c r="BS37" s="4"/>
      <c r="BT37" s="4"/>
      <c r="BU37" s="4"/>
      <c r="BV37" s="4"/>
    </row>
    <row r="38" spans="1:74" x14ac:dyDescent="0.25">
      <c r="A38" s="3" t="s">
        <v>149</v>
      </c>
      <c r="B38" s="3" t="s">
        <v>109</v>
      </c>
      <c r="C38" s="3" t="s">
        <v>150</v>
      </c>
      <c r="D38" s="3" t="s">
        <v>77</v>
      </c>
      <c r="E38" s="4"/>
      <c r="F38" s="4">
        <v>4.3799999999999999E-2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>
        <v>2.1000000000000001E-2</v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0.18</v>
      </c>
      <c r="BD38" s="4"/>
      <c r="BE38" s="4"/>
      <c r="BF38" s="4"/>
      <c r="BG38" s="4"/>
      <c r="BH38" s="4"/>
      <c r="BI38" s="4"/>
      <c r="BJ38" s="4"/>
      <c r="BK38" s="4"/>
      <c r="BL38" s="4"/>
      <c r="BM38" s="4">
        <v>7.0000000000000007E-2</v>
      </c>
      <c r="BN38" s="4"/>
      <c r="BO38" s="4"/>
      <c r="BP38" s="4"/>
      <c r="BQ38" s="4"/>
      <c r="BR38" s="4"/>
      <c r="BS38" s="4"/>
      <c r="BT38" s="4"/>
      <c r="BU38" s="4"/>
      <c r="BV38" s="4"/>
    </row>
    <row r="39" spans="1:74" x14ac:dyDescent="0.25">
      <c r="A39" s="5" t="s">
        <v>151</v>
      </c>
      <c r="B39" s="5" t="s">
        <v>109</v>
      </c>
      <c r="C39" s="5" t="s">
        <v>152</v>
      </c>
      <c r="D39" s="5" t="s">
        <v>77</v>
      </c>
      <c r="E39" s="4"/>
      <c r="F39" s="4">
        <v>4.3799999999999999E-2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>
        <v>4.2000000000000003E-2</v>
      </c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>
        <v>0.35</v>
      </c>
      <c r="BD39" s="4"/>
      <c r="BE39" s="4"/>
      <c r="BF39" s="4"/>
      <c r="BG39" s="4"/>
      <c r="BH39" s="4"/>
      <c r="BI39" s="4"/>
      <c r="BJ39" s="4"/>
      <c r="BK39" s="4"/>
      <c r="BL39" s="4"/>
      <c r="BM39" s="4">
        <v>7.0000000000000007E-2</v>
      </c>
      <c r="BN39" s="4"/>
      <c r="BO39" s="4"/>
      <c r="BP39" s="4"/>
      <c r="BQ39" s="4"/>
      <c r="BR39" s="4"/>
      <c r="BS39" s="4"/>
      <c r="BT39" s="4"/>
      <c r="BU39" s="4"/>
      <c r="BV39" s="4"/>
    </row>
    <row r="40" spans="1:74" x14ac:dyDescent="0.25">
      <c r="A40" s="3" t="s">
        <v>153</v>
      </c>
      <c r="B40" s="3" t="s">
        <v>109</v>
      </c>
      <c r="C40" s="3" t="s">
        <v>154</v>
      </c>
      <c r="D40" s="3" t="s">
        <v>77</v>
      </c>
      <c r="E40" s="4"/>
      <c r="F40" s="4"/>
      <c r="G40" s="4">
        <v>4.3799999999999999E-2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>
        <v>2.1000000000000001E-2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>
        <v>0.18</v>
      </c>
      <c r="BD40" s="4"/>
      <c r="BE40" s="4"/>
      <c r="BF40" s="4"/>
      <c r="BG40" s="4"/>
      <c r="BH40" s="4"/>
      <c r="BI40" s="4"/>
      <c r="BJ40" s="4"/>
      <c r="BK40" s="4"/>
      <c r="BL40" s="4"/>
      <c r="BM40" s="4">
        <v>7.0000000000000007E-2</v>
      </c>
      <c r="BN40" s="4"/>
      <c r="BO40" s="4"/>
      <c r="BP40" s="4"/>
      <c r="BQ40" s="4"/>
      <c r="BR40" s="4"/>
      <c r="BS40" s="4"/>
      <c r="BT40" s="4"/>
      <c r="BU40" s="4"/>
      <c r="BV40" s="4"/>
    </row>
    <row r="41" spans="1:74" x14ac:dyDescent="0.25">
      <c r="A41" s="5" t="s">
        <v>155</v>
      </c>
      <c r="B41" s="5" t="s">
        <v>109</v>
      </c>
      <c r="C41" s="5" t="s">
        <v>156</v>
      </c>
      <c r="D41" s="5" t="s">
        <v>77</v>
      </c>
      <c r="E41" s="4"/>
      <c r="F41" s="4"/>
      <c r="G41" s="4">
        <v>4.3799999999999999E-2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>
        <v>4.2000000000000003E-2</v>
      </c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>
        <v>0.35</v>
      </c>
      <c r="BD41" s="4"/>
      <c r="BE41" s="4"/>
      <c r="BF41" s="4"/>
      <c r="BG41" s="4"/>
      <c r="BH41" s="4"/>
      <c r="BI41" s="4"/>
      <c r="BJ41" s="4"/>
      <c r="BK41" s="4"/>
      <c r="BL41" s="4"/>
      <c r="BM41" s="4">
        <v>7.0000000000000007E-2</v>
      </c>
      <c r="BN41" s="4"/>
      <c r="BO41" s="4"/>
      <c r="BP41" s="4"/>
      <c r="BQ41" s="4"/>
      <c r="BR41" s="4"/>
      <c r="BS41" s="4"/>
      <c r="BT41" s="4"/>
      <c r="BU41" s="4"/>
      <c r="BV41" s="4"/>
    </row>
    <row r="42" spans="1:74" x14ac:dyDescent="0.25">
      <c r="A42" s="3" t="s">
        <v>157</v>
      </c>
      <c r="B42" s="3" t="s">
        <v>158</v>
      </c>
      <c r="C42" s="3" t="s">
        <v>159</v>
      </c>
      <c r="D42" s="3" t="s">
        <v>77</v>
      </c>
      <c r="E42" s="4">
        <v>0.1313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>
        <v>0.126</v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>
        <v>1.05</v>
      </c>
      <c r="BD42" s="4"/>
      <c r="BE42" s="4"/>
      <c r="BF42" s="4"/>
      <c r="BG42" s="4"/>
      <c r="BH42" s="4"/>
      <c r="BI42" s="4"/>
      <c r="BJ42" s="4"/>
      <c r="BK42" s="4"/>
      <c r="BL42" s="4"/>
      <c r="BM42" s="4">
        <v>0.14000000000000001</v>
      </c>
      <c r="BN42" s="4">
        <v>0.3</v>
      </c>
      <c r="BO42" s="4"/>
      <c r="BP42" s="4"/>
      <c r="BQ42" s="4"/>
      <c r="BR42" s="4"/>
      <c r="BS42" s="4"/>
      <c r="BT42" s="4"/>
      <c r="BU42" s="4"/>
      <c r="BV42" s="4"/>
    </row>
    <row r="43" spans="1:74" x14ac:dyDescent="0.25">
      <c r="A43" s="5" t="s">
        <v>160</v>
      </c>
      <c r="B43" s="5" t="s">
        <v>158</v>
      </c>
      <c r="C43" s="5" t="s">
        <v>161</v>
      </c>
      <c r="D43" s="5" t="s">
        <v>77</v>
      </c>
      <c r="E43" s="4"/>
      <c r="F43" s="4">
        <v>0.1313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>
        <v>0.126</v>
      </c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>
        <v>1.05</v>
      </c>
      <c r="BD43" s="4"/>
      <c r="BE43" s="4"/>
      <c r="BF43" s="4"/>
      <c r="BG43" s="4"/>
      <c r="BH43" s="4"/>
      <c r="BI43" s="4"/>
      <c r="BJ43" s="4"/>
      <c r="BK43" s="4"/>
      <c r="BL43" s="4"/>
      <c r="BM43" s="4">
        <v>0.14000000000000001</v>
      </c>
      <c r="BN43" s="4">
        <v>0.3</v>
      </c>
      <c r="BO43" s="4"/>
      <c r="BP43" s="4"/>
      <c r="BQ43" s="4"/>
      <c r="BR43" s="4"/>
      <c r="BS43" s="4"/>
      <c r="BT43" s="4"/>
      <c r="BU43" s="4"/>
      <c r="BV43" s="4"/>
    </row>
    <row r="44" spans="1:74" x14ac:dyDescent="0.25">
      <c r="A44" s="3" t="s">
        <v>162</v>
      </c>
      <c r="B44" s="3" t="s">
        <v>158</v>
      </c>
      <c r="C44" s="3" t="s">
        <v>163</v>
      </c>
      <c r="D44" s="3" t="s">
        <v>77</v>
      </c>
      <c r="E44" s="4">
        <v>0.1313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>
        <v>0.126</v>
      </c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1.05</v>
      </c>
      <c r="BD44" s="4"/>
      <c r="BE44" s="4"/>
      <c r="BF44" s="4"/>
      <c r="BG44" s="4"/>
      <c r="BH44" s="4"/>
      <c r="BI44" s="4"/>
      <c r="BJ44" s="4"/>
      <c r="BK44" s="4"/>
      <c r="BL44" s="4"/>
      <c r="BM44" s="4">
        <v>0.14000000000000001</v>
      </c>
      <c r="BN44" s="4">
        <v>0.3</v>
      </c>
      <c r="BO44" s="4"/>
      <c r="BP44" s="4"/>
      <c r="BQ44" s="4"/>
      <c r="BR44" s="4"/>
      <c r="BS44" s="4"/>
      <c r="BT44" s="4"/>
      <c r="BU44" s="4"/>
      <c r="BV44" s="4"/>
    </row>
    <row r="45" spans="1:74" x14ac:dyDescent="0.25">
      <c r="A45" s="5" t="s">
        <v>164</v>
      </c>
      <c r="B45" s="5" t="s">
        <v>158</v>
      </c>
      <c r="C45" s="5" t="s">
        <v>165</v>
      </c>
      <c r="D45" s="5" t="s">
        <v>77</v>
      </c>
      <c r="E45" s="4"/>
      <c r="F45" s="4">
        <v>0.1313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>
        <v>0.126</v>
      </c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1.05</v>
      </c>
      <c r="BD45" s="4"/>
      <c r="BE45" s="4"/>
      <c r="BF45" s="4"/>
      <c r="BG45" s="4"/>
      <c r="BH45" s="4"/>
      <c r="BI45" s="4"/>
      <c r="BJ45" s="4"/>
      <c r="BK45" s="4"/>
      <c r="BL45" s="4"/>
      <c r="BM45" s="4">
        <v>0.14000000000000001</v>
      </c>
      <c r="BN45" s="4">
        <v>0.3</v>
      </c>
      <c r="BO45" s="4"/>
      <c r="BP45" s="4"/>
      <c r="BQ45" s="4"/>
      <c r="BR45" s="4"/>
      <c r="BS45" s="4"/>
      <c r="BT45" s="4"/>
      <c r="BU45" s="4"/>
      <c r="BV45" s="4"/>
    </row>
    <row r="46" spans="1:74" x14ac:dyDescent="0.25">
      <c r="A46" s="3" t="s">
        <v>166</v>
      </c>
      <c r="B46" s="3" t="s">
        <v>158</v>
      </c>
      <c r="C46" s="3" t="s">
        <v>167</v>
      </c>
      <c r="D46" s="3" t="s">
        <v>77</v>
      </c>
      <c r="E46" s="4">
        <v>0.26250000000000001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>
        <v>0.252</v>
      </c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2.1</v>
      </c>
      <c r="BD46" s="4"/>
      <c r="BE46" s="4"/>
      <c r="BF46" s="4"/>
      <c r="BG46" s="4"/>
      <c r="BH46" s="4"/>
      <c r="BI46" s="4"/>
      <c r="BJ46" s="4"/>
      <c r="BK46" s="4"/>
      <c r="BL46" s="4"/>
      <c r="BM46" s="4">
        <v>0.24</v>
      </c>
      <c r="BN46" s="4">
        <v>0.3</v>
      </c>
      <c r="BO46" s="4"/>
      <c r="BP46" s="4"/>
      <c r="BQ46" s="4"/>
      <c r="BR46" s="4"/>
      <c r="BS46" s="4"/>
      <c r="BT46" s="4"/>
      <c r="BU46" s="4"/>
      <c r="BV46" s="4"/>
    </row>
    <row r="47" spans="1:74" x14ac:dyDescent="0.25">
      <c r="A47" s="5" t="s">
        <v>168</v>
      </c>
      <c r="B47" s="5" t="s">
        <v>158</v>
      </c>
      <c r="C47" s="5" t="s">
        <v>169</v>
      </c>
      <c r="D47" s="5" t="s">
        <v>77</v>
      </c>
      <c r="E47" s="4"/>
      <c r="F47" s="4">
        <v>0.26250000000000001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>
        <v>0.252</v>
      </c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2.1</v>
      </c>
      <c r="BD47" s="4"/>
      <c r="BE47" s="4"/>
      <c r="BF47" s="4"/>
      <c r="BG47" s="4"/>
      <c r="BH47" s="4"/>
      <c r="BI47" s="4"/>
      <c r="BJ47" s="4"/>
      <c r="BK47" s="4"/>
      <c r="BL47" s="4"/>
      <c r="BM47" s="4">
        <v>0.24</v>
      </c>
      <c r="BN47" s="4">
        <v>0.3</v>
      </c>
      <c r="BO47" s="4"/>
      <c r="BP47" s="4"/>
      <c r="BQ47" s="4"/>
      <c r="BR47" s="4"/>
      <c r="BS47" s="4"/>
      <c r="BT47" s="4"/>
      <c r="BU47" s="4"/>
      <c r="BV47" s="4"/>
    </row>
    <row r="48" spans="1:74" x14ac:dyDescent="0.25">
      <c r="A48" s="3" t="s">
        <v>170</v>
      </c>
      <c r="B48" s="3" t="s">
        <v>158</v>
      </c>
      <c r="C48" s="3" t="s">
        <v>171</v>
      </c>
      <c r="D48" s="3" t="s">
        <v>77</v>
      </c>
      <c r="E48" s="4">
        <v>0.26250000000000001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>
        <v>0.252</v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2.1</v>
      </c>
      <c r="BD48" s="4"/>
      <c r="BE48" s="4"/>
      <c r="BF48" s="4"/>
      <c r="BG48" s="4"/>
      <c r="BH48" s="4"/>
      <c r="BI48" s="4"/>
      <c r="BJ48" s="4"/>
      <c r="BK48" s="4"/>
      <c r="BL48" s="4"/>
      <c r="BM48" s="4">
        <v>0.24</v>
      </c>
      <c r="BN48" s="4">
        <v>0.3</v>
      </c>
      <c r="BO48" s="4"/>
      <c r="BP48" s="4"/>
      <c r="BQ48" s="4"/>
      <c r="BR48" s="4"/>
      <c r="BS48" s="4"/>
      <c r="BT48" s="4"/>
      <c r="BU48" s="4"/>
      <c r="BV48" s="4"/>
    </row>
    <row r="49" spans="1:74" x14ac:dyDescent="0.25">
      <c r="A49" s="5" t="s">
        <v>172</v>
      </c>
      <c r="B49" s="5" t="s">
        <v>158</v>
      </c>
      <c r="C49" s="5" t="s">
        <v>173</v>
      </c>
      <c r="D49" s="5" t="s">
        <v>77</v>
      </c>
      <c r="E49" s="4"/>
      <c r="F49" s="4">
        <v>0.26250000000000001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>
        <v>0.252</v>
      </c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2.1</v>
      </c>
      <c r="BD49" s="4"/>
      <c r="BE49" s="4"/>
      <c r="BF49" s="4"/>
      <c r="BG49" s="4"/>
      <c r="BH49" s="4"/>
      <c r="BI49" s="4"/>
      <c r="BJ49" s="4"/>
      <c r="BK49" s="4"/>
      <c r="BL49" s="4"/>
      <c r="BM49" s="4">
        <v>0.24</v>
      </c>
      <c r="BN49" s="4">
        <v>0.3</v>
      </c>
      <c r="BO49" s="4"/>
      <c r="BP49" s="4"/>
      <c r="BQ49" s="4"/>
      <c r="BR49" s="4"/>
      <c r="BS49" s="4"/>
      <c r="BT49" s="4"/>
      <c r="BU49" s="4"/>
      <c r="BV49" s="4"/>
    </row>
    <row r="50" spans="1:74" x14ac:dyDescent="0.25">
      <c r="A50" s="3" t="s">
        <v>174</v>
      </c>
      <c r="B50" s="3" t="s">
        <v>175</v>
      </c>
      <c r="C50" s="3" t="s">
        <v>176</v>
      </c>
      <c r="D50" s="3" t="s">
        <v>77</v>
      </c>
      <c r="E50" s="4">
        <v>0.26250000000000001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>
        <v>0.126</v>
      </c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>
        <v>1.05</v>
      </c>
      <c r="BD50" s="4"/>
      <c r="BE50" s="4"/>
      <c r="BF50" s="4"/>
      <c r="BG50" s="4"/>
      <c r="BH50" s="4"/>
      <c r="BI50" s="4"/>
      <c r="BJ50" s="4"/>
      <c r="BK50" s="4"/>
      <c r="BL50" s="4"/>
      <c r="BM50" s="4">
        <v>0.24</v>
      </c>
      <c r="BN50" s="4"/>
      <c r="BO50" s="4"/>
      <c r="BP50" s="4"/>
      <c r="BQ50" s="4"/>
      <c r="BR50" s="4"/>
      <c r="BS50" s="4"/>
      <c r="BT50" s="4"/>
      <c r="BU50" s="4"/>
      <c r="BV50" s="4"/>
    </row>
    <row r="51" spans="1:74" x14ac:dyDescent="0.25">
      <c r="A51" s="5" t="s">
        <v>177</v>
      </c>
      <c r="B51" s="5" t="s">
        <v>175</v>
      </c>
      <c r="C51" s="5" t="s">
        <v>178</v>
      </c>
      <c r="D51" s="5" t="s">
        <v>77</v>
      </c>
      <c r="E51" s="4"/>
      <c r="F51" s="4">
        <v>0.26250000000000001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>
        <v>0.126</v>
      </c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>
        <v>1.05</v>
      </c>
      <c r="BD51" s="4"/>
      <c r="BE51" s="4"/>
      <c r="BF51" s="4"/>
      <c r="BG51" s="4"/>
      <c r="BH51" s="4"/>
      <c r="BI51" s="4"/>
      <c r="BJ51" s="4"/>
      <c r="BK51" s="4"/>
      <c r="BL51" s="4"/>
      <c r="BM51" s="4">
        <v>0.24</v>
      </c>
      <c r="BN51" s="4"/>
      <c r="BO51" s="4"/>
      <c r="BP51" s="4"/>
      <c r="BQ51" s="4"/>
      <c r="BR51" s="4"/>
      <c r="BS51" s="4"/>
      <c r="BT51" s="4"/>
      <c r="BU51" s="4"/>
      <c r="BV51" s="4"/>
    </row>
    <row r="52" spans="1:74" x14ac:dyDescent="0.25">
      <c r="A52" s="3" t="s">
        <v>179</v>
      </c>
      <c r="B52" s="3" t="s">
        <v>175</v>
      </c>
      <c r="C52" s="3" t="s">
        <v>180</v>
      </c>
      <c r="D52" s="3" t="s">
        <v>77</v>
      </c>
      <c r="E52" s="4"/>
      <c r="F52" s="4"/>
      <c r="G52" s="4">
        <v>0.26250000000000001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>
        <v>0.126</v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1.05</v>
      </c>
      <c r="BD52" s="4"/>
      <c r="BE52" s="4"/>
      <c r="BF52" s="4"/>
      <c r="BG52" s="4"/>
      <c r="BH52" s="4"/>
      <c r="BI52" s="4"/>
      <c r="BJ52" s="4"/>
      <c r="BK52" s="4"/>
      <c r="BL52" s="4"/>
      <c r="BM52" s="4">
        <v>0.24</v>
      </c>
      <c r="BN52" s="4"/>
      <c r="BO52" s="4"/>
      <c r="BP52" s="4"/>
      <c r="BQ52" s="4"/>
      <c r="BR52" s="4"/>
      <c r="BS52" s="4"/>
      <c r="BT52" s="4"/>
      <c r="BU52" s="4"/>
      <c r="BV52" s="4"/>
    </row>
    <row r="53" spans="1:74" x14ac:dyDescent="0.25">
      <c r="A53" s="5" t="s">
        <v>181</v>
      </c>
      <c r="B53" s="5" t="s">
        <v>175</v>
      </c>
      <c r="C53" s="5" t="s">
        <v>182</v>
      </c>
      <c r="D53" s="5" t="s">
        <v>77</v>
      </c>
      <c r="E53" s="4">
        <v>0.26250000000000001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>
        <v>0.126</v>
      </c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>
        <v>1.05</v>
      </c>
      <c r="BD53" s="4"/>
      <c r="BE53" s="4"/>
      <c r="BF53" s="4"/>
      <c r="BG53" s="4"/>
      <c r="BH53" s="4"/>
      <c r="BI53" s="4"/>
      <c r="BJ53" s="4"/>
      <c r="BK53" s="4"/>
      <c r="BL53" s="4"/>
      <c r="BM53" s="4">
        <v>0.24</v>
      </c>
      <c r="BN53" s="4"/>
      <c r="BO53" s="4"/>
      <c r="BP53" s="4"/>
      <c r="BQ53" s="4"/>
      <c r="BR53" s="4"/>
      <c r="BS53" s="4"/>
      <c r="BT53" s="4"/>
      <c r="BU53" s="4"/>
      <c r="BV53" s="4"/>
    </row>
    <row r="54" spans="1:74" x14ac:dyDescent="0.25">
      <c r="A54" s="3" t="s">
        <v>183</v>
      </c>
      <c r="B54" s="3" t="s">
        <v>175</v>
      </c>
      <c r="C54" s="3" t="s">
        <v>184</v>
      </c>
      <c r="D54" s="3" t="s">
        <v>77</v>
      </c>
      <c r="E54" s="4"/>
      <c r="F54" s="4">
        <v>0.26250000000000001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>
        <v>0.126</v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>
        <v>1.05</v>
      </c>
      <c r="BD54" s="4"/>
      <c r="BE54" s="4"/>
      <c r="BF54" s="4"/>
      <c r="BG54" s="4"/>
      <c r="BH54" s="4"/>
      <c r="BI54" s="4"/>
      <c r="BJ54" s="4"/>
      <c r="BK54" s="4"/>
      <c r="BL54" s="4"/>
      <c r="BM54" s="4">
        <v>0.24</v>
      </c>
      <c r="BN54" s="4"/>
      <c r="BO54" s="4"/>
      <c r="BP54" s="4"/>
      <c r="BQ54" s="4"/>
      <c r="BR54" s="4"/>
      <c r="BS54" s="4"/>
      <c r="BT54" s="4"/>
      <c r="BU54" s="4"/>
      <c r="BV54" s="4"/>
    </row>
    <row r="55" spans="1:74" x14ac:dyDescent="0.25">
      <c r="A55" s="5" t="s">
        <v>185</v>
      </c>
      <c r="B55" s="5" t="s">
        <v>175</v>
      </c>
      <c r="C55" s="5" t="s">
        <v>186</v>
      </c>
      <c r="D55" s="5" t="s">
        <v>77</v>
      </c>
      <c r="E55" s="4"/>
      <c r="F55" s="4"/>
      <c r="G55" s="4">
        <v>0.26250000000000001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>
        <v>0.126</v>
      </c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>
        <v>1.05</v>
      </c>
      <c r="BD55" s="4"/>
      <c r="BE55" s="4"/>
      <c r="BF55" s="4"/>
      <c r="BG55" s="4"/>
      <c r="BH55" s="4"/>
      <c r="BI55" s="4"/>
      <c r="BJ55" s="4"/>
      <c r="BK55" s="4"/>
      <c r="BL55" s="4"/>
      <c r="BM55" s="4">
        <v>0.24</v>
      </c>
      <c r="BN55" s="4"/>
      <c r="BO55" s="4"/>
      <c r="BP55" s="4"/>
      <c r="BQ55" s="4"/>
      <c r="BR55" s="4"/>
      <c r="BS55" s="4"/>
      <c r="BT55" s="4"/>
      <c r="BU55" s="4"/>
      <c r="BV55" s="4"/>
    </row>
    <row r="56" spans="1:74" x14ac:dyDescent="0.25">
      <c r="A56" s="3" t="s">
        <v>187</v>
      </c>
      <c r="B56" s="3" t="s">
        <v>188</v>
      </c>
      <c r="C56" s="3" t="s">
        <v>189</v>
      </c>
      <c r="D56" s="3" t="s">
        <v>77</v>
      </c>
      <c r="E56" s="4"/>
      <c r="F56" s="4"/>
      <c r="G56" s="4"/>
      <c r="H56" s="4"/>
      <c r="I56" s="4">
        <v>0.1313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>
        <v>3.15E-2</v>
      </c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>
        <v>0.53</v>
      </c>
      <c r="BD56" s="4"/>
      <c r="BE56" s="4"/>
      <c r="BF56" s="4"/>
      <c r="BG56" s="4"/>
      <c r="BH56" s="4"/>
      <c r="BI56" s="4"/>
      <c r="BJ56" s="4"/>
      <c r="BK56" s="4"/>
      <c r="BL56" s="4"/>
      <c r="BM56" s="4">
        <v>0.14000000000000001</v>
      </c>
      <c r="BN56" s="4"/>
      <c r="BO56" s="4"/>
      <c r="BP56" s="4"/>
      <c r="BQ56" s="4"/>
      <c r="BR56" s="4"/>
      <c r="BS56" s="4"/>
      <c r="BT56" s="4"/>
      <c r="BU56" s="4"/>
      <c r="BV56" s="4"/>
    </row>
    <row r="57" spans="1:74" x14ac:dyDescent="0.25">
      <c r="A57" s="5" t="s">
        <v>190</v>
      </c>
      <c r="B57" s="5" t="s">
        <v>188</v>
      </c>
      <c r="C57" s="5" t="s">
        <v>191</v>
      </c>
      <c r="D57" s="5" t="s">
        <v>77</v>
      </c>
      <c r="E57" s="4"/>
      <c r="F57" s="4"/>
      <c r="G57" s="4"/>
      <c r="H57" s="4"/>
      <c r="I57" s="4"/>
      <c r="J57" s="4">
        <v>0.1313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>
        <v>3.15E-2</v>
      </c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>
        <v>0.53</v>
      </c>
      <c r="BD57" s="4"/>
      <c r="BE57" s="4"/>
      <c r="BF57" s="4"/>
      <c r="BG57" s="4"/>
      <c r="BH57" s="4"/>
      <c r="BI57" s="4"/>
      <c r="BJ57" s="4"/>
      <c r="BK57" s="4"/>
      <c r="BL57" s="4"/>
      <c r="BM57" s="4">
        <v>0.14000000000000001</v>
      </c>
      <c r="BN57" s="4"/>
      <c r="BO57" s="4"/>
      <c r="BP57" s="4"/>
      <c r="BQ57" s="4"/>
      <c r="BR57" s="4"/>
      <c r="BS57" s="4"/>
      <c r="BT57" s="4"/>
      <c r="BU57" s="4"/>
      <c r="BV57" s="4"/>
    </row>
    <row r="58" spans="1:74" x14ac:dyDescent="0.25">
      <c r="A58" s="3" t="s">
        <v>192</v>
      </c>
      <c r="B58" s="3" t="s">
        <v>193</v>
      </c>
      <c r="C58" s="3" t="s">
        <v>194</v>
      </c>
      <c r="D58" s="3" t="s">
        <v>77</v>
      </c>
      <c r="E58" s="4"/>
      <c r="F58" s="4"/>
      <c r="G58" s="4"/>
      <c r="H58" s="4">
        <v>3.2800000000000003E-2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>
        <v>0.1181</v>
      </c>
      <c r="AL58" s="4"/>
      <c r="AM58" s="4"/>
      <c r="AN58" s="4"/>
      <c r="AO58" s="4"/>
      <c r="AP58" s="4"/>
      <c r="AQ58" s="4">
        <v>3.15E-2</v>
      </c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>
        <v>0.26</v>
      </c>
      <c r="BD58" s="4"/>
      <c r="BE58" s="4"/>
      <c r="BF58" s="4"/>
      <c r="BG58" s="4"/>
      <c r="BH58" s="4"/>
      <c r="BI58" s="4"/>
      <c r="BJ58" s="4"/>
      <c r="BK58" s="4"/>
      <c r="BL58" s="4"/>
      <c r="BM58" s="4">
        <v>0.06</v>
      </c>
      <c r="BN58" s="4"/>
      <c r="BO58" s="4"/>
      <c r="BP58" s="4"/>
      <c r="BQ58" s="4">
        <v>0.71</v>
      </c>
      <c r="BR58" s="4"/>
      <c r="BS58" s="4"/>
      <c r="BT58" s="4"/>
      <c r="BU58" s="4"/>
      <c r="BV58" s="4"/>
    </row>
    <row r="59" spans="1:74" x14ac:dyDescent="0.25">
      <c r="A59" s="5" t="s">
        <v>195</v>
      </c>
      <c r="B59" s="5" t="s">
        <v>193</v>
      </c>
      <c r="C59" s="5" t="s">
        <v>196</v>
      </c>
      <c r="D59" s="5" t="s">
        <v>77</v>
      </c>
      <c r="E59" s="4"/>
      <c r="F59" s="4"/>
      <c r="G59" s="4"/>
      <c r="H59" s="4"/>
      <c r="I59" s="4"/>
      <c r="J59" s="4"/>
      <c r="K59" s="4"/>
      <c r="L59" s="4"/>
      <c r="M59" s="4">
        <v>3.2800000000000003E-2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>
        <v>3.15E-2</v>
      </c>
      <c r="AR59" s="4"/>
      <c r="AS59" s="4"/>
      <c r="AT59" s="4"/>
      <c r="AU59" s="4"/>
      <c r="AV59" s="4"/>
      <c r="AW59" s="4"/>
      <c r="AX59" s="4"/>
      <c r="AY59" s="4"/>
      <c r="AZ59" s="4"/>
      <c r="BA59" s="4">
        <v>7.8799999999999995E-2</v>
      </c>
      <c r="BB59" s="4"/>
      <c r="BC59" s="4">
        <v>0.26</v>
      </c>
      <c r="BD59" s="4"/>
      <c r="BE59" s="4"/>
      <c r="BF59" s="4"/>
      <c r="BG59" s="4"/>
      <c r="BH59" s="4"/>
      <c r="BI59" s="4"/>
      <c r="BJ59" s="4"/>
      <c r="BK59" s="4"/>
      <c r="BL59" s="4"/>
      <c r="BM59" s="4">
        <v>0.06</v>
      </c>
      <c r="BN59" s="4"/>
      <c r="BO59" s="4"/>
      <c r="BP59" s="4"/>
      <c r="BQ59" s="4"/>
      <c r="BR59" s="4"/>
      <c r="BS59" s="4">
        <v>0.39</v>
      </c>
      <c r="BT59" s="4"/>
      <c r="BU59" s="4"/>
      <c r="BV59" s="4"/>
    </row>
    <row r="60" spans="1:74" x14ac:dyDescent="0.25">
      <c r="A60" s="3" t="s">
        <v>197</v>
      </c>
      <c r="B60" s="3" t="s">
        <v>193</v>
      </c>
      <c r="C60" s="3" t="s">
        <v>198</v>
      </c>
      <c r="D60" s="3" t="s">
        <v>77</v>
      </c>
      <c r="E60" s="4"/>
      <c r="F60" s="4"/>
      <c r="G60" s="4"/>
      <c r="H60" s="4">
        <v>6.5600000000000006E-2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>
        <v>0.23630000000000001</v>
      </c>
      <c r="AL60" s="4"/>
      <c r="AM60" s="4"/>
      <c r="AN60" s="4"/>
      <c r="AO60" s="4"/>
      <c r="AP60" s="4"/>
      <c r="AQ60" s="4">
        <v>6.3E-2</v>
      </c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>
        <v>0.53</v>
      </c>
      <c r="BD60" s="4"/>
      <c r="BE60" s="4"/>
      <c r="BF60" s="4"/>
      <c r="BG60" s="4"/>
      <c r="BH60" s="4"/>
      <c r="BI60" s="4"/>
      <c r="BJ60" s="4"/>
      <c r="BK60" s="4"/>
      <c r="BL60" s="4"/>
      <c r="BM60" s="4">
        <v>0.08</v>
      </c>
      <c r="BN60" s="4"/>
      <c r="BO60" s="4"/>
      <c r="BP60" s="4"/>
      <c r="BQ60" s="4">
        <v>1.42</v>
      </c>
      <c r="BR60" s="4"/>
      <c r="BS60" s="4"/>
      <c r="BT60" s="4"/>
      <c r="BU60" s="4"/>
      <c r="BV60" s="4"/>
    </row>
    <row r="61" spans="1:74" x14ac:dyDescent="0.25">
      <c r="A61" s="5" t="s">
        <v>199</v>
      </c>
      <c r="B61" s="5" t="s">
        <v>193</v>
      </c>
      <c r="C61" s="5" t="s">
        <v>200</v>
      </c>
      <c r="D61" s="5" t="s">
        <v>77</v>
      </c>
      <c r="E61" s="4"/>
      <c r="F61" s="4"/>
      <c r="G61" s="4"/>
      <c r="H61" s="4"/>
      <c r="I61" s="4"/>
      <c r="J61" s="4"/>
      <c r="K61" s="4"/>
      <c r="L61" s="4"/>
      <c r="M61" s="4">
        <v>6.5600000000000006E-2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>
        <v>6.3E-2</v>
      </c>
      <c r="AR61" s="4"/>
      <c r="AS61" s="4"/>
      <c r="AT61" s="4"/>
      <c r="AU61" s="4"/>
      <c r="AV61" s="4"/>
      <c r="AW61" s="4"/>
      <c r="AX61" s="4"/>
      <c r="AY61" s="4"/>
      <c r="AZ61" s="4"/>
      <c r="BA61" s="4">
        <v>0.1575</v>
      </c>
      <c r="BB61" s="4"/>
      <c r="BC61" s="4">
        <v>0.53</v>
      </c>
      <c r="BD61" s="4"/>
      <c r="BE61" s="4"/>
      <c r="BF61" s="4"/>
      <c r="BG61" s="4"/>
      <c r="BH61" s="4"/>
      <c r="BI61" s="4"/>
      <c r="BJ61" s="4"/>
      <c r="BK61" s="4"/>
      <c r="BL61" s="4"/>
      <c r="BM61" s="4">
        <v>0.08</v>
      </c>
      <c r="BN61" s="4"/>
      <c r="BO61" s="4"/>
      <c r="BP61" s="4"/>
      <c r="BQ61" s="4"/>
      <c r="BR61" s="4"/>
      <c r="BS61" s="4">
        <v>0.79</v>
      </c>
      <c r="BT61" s="4"/>
      <c r="BU61" s="4"/>
      <c r="BV61" s="4"/>
    </row>
    <row r="62" spans="1:74" x14ac:dyDescent="0.25">
      <c r="A62" s="3" t="s">
        <v>201</v>
      </c>
      <c r="B62" s="3" t="s">
        <v>193</v>
      </c>
      <c r="C62" s="3" t="s">
        <v>202</v>
      </c>
      <c r="D62" s="3" t="s">
        <v>77</v>
      </c>
      <c r="E62" s="4"/>
      <c r="F62" s="4"/>
      <c r="G62" s="4"/>
      <c r="H62" s="4">
        <v>0.1313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>
        <v>0.47249999999999998</v>
      </c>
      <c r="AL62" s="4"/>
      <c r="AM62" s="4"/>
      <c r="AN62" s="4"/>
      <c r="AO62" s="4"/>
      <c r="AP62" s="4"/>
      <c r="AQ62" s="4">
        <v>0.126</v>
      </c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>
        <v>1.05</v>
      </c>
      <c r="BD62" s="4"/>
      <c r="BE62" s="4"/>
      <c r="BF62" s="4"/>
      <c r="BG62" s="4"/>
      <c r="BH62" s="4"/>
      <c r="BI62" s="4"/>
      <c r="BJ62" s="4"/>
      <c r="BK62" s="4"/>
      <c r="BL62" s="4"/>
      <c r="BM62" s="4">
        <v>0.14000000000000001</v>
      </c>
      <c r="BN62" s="4">
        <v>0.3</v>
      </c>
      <c r="BO62" s="4"/>
      <c r="BP62" s="4"/>
      <c r="BQ62" s="4">
        <v>2.83</v>
      </c>
      <c r="BR62" s="4"/>
      <c r="BS62" s="4"/>
      <c r="BT62" s="4"/>
      <c r="BU62" s="4"/>
      <c r="BV62" s="4"/>
    </row>
    <row r="63" spans="1:74" x14ac:dyDescent="0.25">
      <c r="A63" s="5" t="s">
        <v>203</v>
      </c>
      <c r="B63" s="5" t="s">
        <v>193</v>
      </c>
      <c r="C63" s="5" t="s">
        <v>204</v>
      </c>
      <c r="D63" s="5" t="s">
        <v>77</v>
      </c>
      <c r="E63" s="4"/>
      <c r="F63" s="4"/>
      <c r="G63" s="4"/>
      <c r="H63" s="4"/>
      <c r="I63" s="4"/>
      <c r="J63" s="4"/>
      <c r="K63" s="4"/>
      <c r="L63" s="4"/>
      <c r="M63" s="4">
        <v>0.1313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>
        <v>0.126</v>
      </c>
      <c r="AR63" s="4"/>
      <c r="AS63" s="4"/>
      <c r="AT63" s="4"/>
      <c r="AU63" s="4"/>
      <c r="AV63" s="4"/>
      <c r="AW63" s="4"/>
      <c r="AX63" s="4"/>
      <c r="AY63" s="4"/>
      <c r="AZ63" s="4"/>
      <c r="BA63" s="4">
        <v>0.315</v>
      </c>
      <c r="BB63" s="4"/>
      <c r="BC63" s="4">
        <v>1.05</v>
      </c>
      <c r="BD63" s="4"/>
      <c r="BE63" s="4"/>
      <c r="BF63" s="4"/>
      <c r="BG63" s="4"/>
      <c r="BH63" s="4"/>
      <c r="BI63" s="4"/>
      <c r="BJ63" s="4"/>
      <c r="BK63" s="4"/>
      <c r="BL63" s="4"/>
      <c r="BM63" s="4">
        <v>0.14000000000000001</v>
      </c>
      <c r="BN63" s="4">
        <v>0.3</v>
      </c>
      <c r="BO63" s="4"/>
      <c r="BP63" s="4"/>
      <c r="BQ63" s="4"/>
      <c r="BR63" s="4"/>
      <c r="BS63" s="4">
        <v>1.58</v>
      </c>
      <c r="BT63" s="4"/>
      <c r="BU63" s="4"/>
      <c r="BV63" s="4"/>
    </row>
    <row r="64" spans="1:74" x14ac:dyDescent="0.25">
      <c r="A64" s="3" t="s">
        <v>205</v>
      </c>
      <c r="B64" s="3" t="s">
        <v>206</v>
      </c>
      <c r="C64" s="3" t="s">
        <v>207</v>
      </c>
      <c r="D64" s="3" t="s">
        <v>77</v>
      </c>
      <c r="E64" s="4"/>
      <c r="F64" s="4"/>
      <c r="G64" s="4"/>
      <c r="H64" s="4">
        <v>0.1313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>
        <v>0.47249999999999998</v>
      </c>
      <c r="AL64" s="4"/>
      <c r="AM64" s="4"/>
      <c r="AN64" s="4"/>
      <c r="AO64" s="4"/>
      <c r="AP64" s="4"/>
      <c r="AQ64" s="4">
        <v>0.126</v>
      </c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>
        <v>1.05</v>
      </c>
      <c r="BD64" s="4"/>
      <c r="BE64" s="4"/>
      <c r="BF64" s="4"/>
      <c r="BG64" s="4"/>
      <c r="BH64" s="4"/>
      <c r="BI64" s="4"/>
      <c r="BJ64" s="4"/>
      <c r="BK64" s="4"/>
      <c r="BL64" s="4"/>
      <c r="BM64" s="4">
        <v>0.14000000000000001</v>
      </c>
      <c r="BN64" s="4"/>
      <c r="BO64" s="4"/>
      <c r="BP64" s="4"/>
      <c r="BQ64" s="4">
        <v>2.83</v>
      </c>
      <c r="BR64" s="4"/>
      <c r="BS64" s="4"/>
      <c r="BT64" s="4"/>
      <c r="BU64" s="4"/>
      <c r="BV64" s="4"/>
    </row>
    <row r="65" spans="1:74" x14ac:dyDescent="0.25">
      <c r="A65" s="5" t="s">
        <v>208</v>
      </c>
      <c r="B65" s="5" t="s">
        <v>206</v>
      </c>
      <c r="C65" s="5" t="s">
        <v>209</v>
      </c>
      <c r="D65" s="5" t="s">
        <v>77</v>
      </c>
      <c r="E65" s="4"/>
      <c r="F65" s="4"/>
      <c r="G65" s="4"/>
      <c r="H65" s="4">
        <v>0.26250000000000001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>
        <v>0.94499999999999995</v>
      </c>
      <c r="AL65" s="4"/>
      <c r="AM65" s="4"/>
      <c r="AN65" s="4"/>
      <c r="AO65" s="4"/>
      <c r="AP65" s="4"/>
      <c r="AQ65" s="4">
        <v>0.252</v>
      </c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>
        <v>2.1</v>
      </c>
      <c r="BD65" s="4"/>
      <c r="BE65" s="4"/>
      <c r="BF65" s="4"/>
      <c r="BG65" s="4"/>
      <c r="BH65" s="4"/>
      <c r="BI65" s="4"/>
      <c r="BJ65" s="4"/>
      <c r="BK65" s="4"/>
      <c r="BL65" s="4"/>
      <c r="BM65" s="4">
        <v>0.24</v>
      </c>
      <c r="BN65" s="4">
        <v>0.3</v>
      </c>
      <c r="BO65" s="4"/>
      <c r="BP65" s="4"/>
      <c r="BQ65" s="4">
        <v>5.67</v>
      </c>
      <c r="BR65" s="4"/>
      <c r="BS65" s="4"/>
      <c r="BT65" s="4"/>
      <c r="BU65" s="4"/>
      <c r="BV65" s="4"/>
    </row>
    <row r="66" spans="1:74" x14ac:dyDescent="0.25">
      <c r="A66" s="3" t="s">
        <v>210</v>
      </c>
      <c r="B66" s="3" t="s">
        <v>211</v>
      </c>
      <c r="C66" s="3" t="s">
        <v>142</v>
      </c>
      <c r="D66" s="3" t="s">
        <v>77</v>
      </c>
      <c r="E66" s="4"/>
      <c r="F66" s="4"/>
      <c r="G66" s="4">
        <v>0.1313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>
        <v>6.3E-2</v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>
        <v>0.53</v>
      </c>
      <c r="BD66" s="4"/>
      <c r="BE66" s="4"/>
      <c r="BF66" s="4"/>
      <c r="BG66" s="4"/>
      <c r="BH66" s="4"/>
      <c r="BI66" s="4"/>
      <c r="BJ66" s="4"/>
      <c r="BK66" s="4"/>
      <c r="BL66" s="4"/>
      <c r="BM66" s="4">
        <v>0.14000000000000001</v>
      </c>
      <c r="BN66" s="4"/>
      <c r="BO66" s="4"/>
      <c r="BP66" s="4"/>
      <c r="BQ66" s="4"/>
      <c r="BR66" s="4"/>
      <c r="BS66" s="4"/>
      <c r="BT66" s="4"/>
      <c r="BU66" s="4"/>
      <c r="BV66" s="4"/>
    </row>
    <row r="67" spans="1:74" x14ac:dyDescent="0.25">
      <c r="A67" s="5" t="s">
        <v>212</v>
      </c>
      <c r="B67" s="5" t="s">
        <v>211</v>
      </c>
      <c r="C67" s="5" t="s">
        <v>213</v>
      </c>
      <c r="D67" s="5" t="s">
        <v>77</v>
      </c>
      <c r="E67" s="4"/>
      <c r="F67" s="4"/>
      <c r="G67" s="4"/>
      <c r="H67" s="4"/>
      <c r="I67" s="4"/>
      <c r="J67" s="4"/>
      <c r="K67" s="4"/>
      <c r="L67" s="4"/>
      <c r="M67" s="4">
        <v>0.1313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>
        <v>6.3E-2</v>
      </c>
      <c r="AR67" s="4"/>
      <c r="AS67" s="4"/>
      <c r="AT67" s="4"/>
      <c r="AU67" s="4"/>
      <c r="AV67" s="4"/>
      <c r="AW67" s="4"/>
      <c r="AX67" s="4"/>
      <c r="AY67" s="4"/>
      <c r="AZ67" s="4"/>
      <c r="BA67" s="4">
        <v>0.315</v>
      </c>
      <c r="BB67" s="4"/>
      <c r="BC67" s="4">
        <v>0.53</v>
      </c>
      <c r="BD67" s="4"/>
      <c r="BE67" s="4"/>
      <c r="BF67" s="4"/>
      <c r="BG67" s="4"/>
      <c r="BH67" s="4"/>
      <c r="BI67" s="4"/>
      <c r="BJ67" s="4"/>
      <c r="BK67" s="4"/>
      <c r="BL67" s="4"/>
      <c r="BM67" s="4">
        <v>0.14000000000000001</v>
      </c>
      <c r="BN67" s="4"/>
      <c r="BO67" s="4"/>
      <c r="BP67" s="4"/>
      <c r="BQ67" s="4"/>
      <c r="BR67" s="4"/>
      <c r="BS67" s="4">
        <v>1.58</v>
      </c>
      <c r="BT67" s="4"/>
      <c r="BU67" s="4"/>
      <c r="BV67" s="4"/>
    </row>
    <row r="68" spans="1:74" x14ac:dyDescent="0.25">
      <c r="A68" s="3" t="s">
        <v>214</v>
      </c>
      <c r="B68" s="3" t="s">
        <v>215</v>
      </c>
      <c r="C68" s="3" t="s">
        <v>216</v>
      </c>
      <c r="D68" s="3" t="s">
        <v>77</v>
      </c>
      <c r="E68" s="4"/>
      <c r="F68" s="4"/>
      <c r="G68" s="4"/>
      <c r="H68" s="4">
        <v>3.2800000000000003E-2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>
        <v>3.15E-2</v>
      </c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>
        <v>0.26</v>
      </c>
      <c r="BD68" s="4"/>
      <c r="BE68" s="4"/>
      <c r="BF68" s="4"/>
      <c r="BG68" s="4"/>
      <c r="BH68" s="4"/>
      <c r="BI68" s="4"/>
      <c r="BJ68" s="4"/>
      <c r="BK68" s="4"/>
      <c r="BL68" s="4"/>
      <c r="BM68" s="4">
        <v>0.06</v>
      </c>
      <c r="BN68" s="4"/>
      <c r="BO68" s="4"/>
      <c r="BP68" s="4"/>
      <c r="BQ68" s="4"/>
      <c r="BR68" s="4"/>
      <c r="BS68" s="4"/>
      <c r="BT68" s="4"/>
      <c r="BU68" s="4"/>
      <c r="BV68" s="4"/>
    </row>
    <row r="69" spans="1:74" x14ac:dyDescent="0.25">
      <c r="A69" s="5" t="s">
        <v>217</v>
      </c>
      <c r="B69" s="5" t="s">
        <v>215</v>
      </c>
      <c r="C69" s="5" t="s">
        <v>218</v>
      </c>
      <c r="D69" s="5" t="s">
        <v>77</v>
      </c>
      <c r="E69" s="4"/>
      <c r="F69" s="4"/>
      <c r="G69" s="4"/>
      <c r="H69" s="4"/>
      <c r="I69" s="4"/>
      <c r="J69" s="4"/>
      <c r="K69" s="4"/>
      <c r="L69" s="4"/>
      <c r="M69" s="4">
        <v>3.2800000000000003E-2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>
        <v>3.15E-2</v>
      </c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>
        <v>0.26</v>
      </c>
      <c r="BD69" s="4"/>
      <c r="BE69" s="4"/>
      <c r="BF69" s="4"/>
      <c r="BG69" s="4"/>
      <c r="BH69" s="4"/>
      <c r="BI69" s="4"/>
      <c r="BJ69" s="4"/>
      <c r="BK69" s="4"/>
      <c r="BL69" s="4"/>
      <c r="BM69" s="4">
        <v>0.06</v>
      </c>
      <c r="BN69" s="4"/>
      <c r="BO69" s="4"/>
      <c r="BP69" s="4"/>
      <c r="BQ69" s="4"/>
      <c r="BR69" s="4"/>
      <c r="BS69" s="4"/>
      <c r="BT69" s="4"/>
      <c r="BU69" s="4"/>
      <c r="BV69" s="4"/>
    </row>
    <row r="70" spans="1:74" x14ac:dyDescent="0.25">
      <c r="A70" s="3" t="s">
        <v>219</v>
      </c>
      <c r="B70" s="3" t="s">
        <v>215</v>
      </c>
      <c r="C70" s="3" t="s">
        <v>220</v>
      </c>
      <c r="D70" s="3" t="s">
        <v>77</v>
      </c>
      <c r="E70" s="4"/>
      <c r="F70" s="4"/>
      <c r="G70" s="4"/>
      <c r="H70" s="4">
        <v>0.1313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>
        <v>0.126</v>
      </c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>
        <v>1.05</v>
      </c>
      <c r="BD70" s="4"/>
      <c r="BE70" s="4"/>
      <c r="BF70" s="4"/>
      <c r="BG70" s="4"/>
      <c r="BH70" s="4"/>
      <c r="BI70" s="4"/>
      <c r="BJ70" s="4"/>
      <c r="BK70" s="4"/>
      <c r="BL70" s="4"/>
      <c r="BM70" s="4">
        <v>0.14000000000000001</v>
      </c>
      <c r="BN70" s="4">
        <v>0.3</v>
      </c>
      <c r="BO70" s="4"/>
      <c r="BP70" s="4"/>
      <c r="BQ70" s="4"/>
      <c r="BR70" s="4"/>
      <c r="BS70" s="4"/>
      <c r="BT70" s="4"/>
      <c r="BU70" s="4"/>
      <c r="BV70" s="4"/>
    </row>
    <row r="71" spans="1:74" x14ac:dyDescent="0.25">
      <c r="A71" s="5" t="s">
        <v>221</v>
      </c>
      <c r="B71" s="5" t="s">
        <v>215</v>
      </c>
      <c r="C71" s="5" t="s">
        <v>204</v>
      </c>
      <c r="D71" s="5" t="s">
        <v>77</v>
      </c>
      <c r="E71" s="4"/>
      <c r="F71" s="4"/>
      <c r="G71" s="4"/>
      <c r="H71" s="4"/>
      <c r="I71" s="4"/>
      <c r="J71" s="4"/>
      <c r="K71" s="4"/>
      <c r="L71" s="4"/>
      <c r="M71" s="4">
        <v>0.1313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>
        <v>0.126</v>
      </c>
      <c r="AR71" s="4"/>
      <c r="AS71" s="4"/>
      <c r="AT71" s="4"/>
      <c r="AU71" s="4"/>
      <c r="AV71" s="4"/>
      <c r="AW71" s="4"/>
      <c r="AX71" s="4"/>
      <c r="AY71" s="4"/>
      <c r="AZ71" s="4"/>
      <c r="BA71" s="4">
        <v>0.315</v>
      </c>
      <c r="BB71" s="4"/>
      <c r="BC71" s="4">
        <v>1.05</v>
      </c>
      <c r="BD71" s="4"/>
      <c r="BE71" s="4"/>
      <c r="BF71" s="4"/>
      <c r="BG71" s="4"/>
      <c r="BH71" s="4"/>
      <c r="BI71" s="4"/>
      <c r="BJ71" s="4"/>
      <c r="BK71" s="4"/>
      <c r="BL71" s="4"/>
      <c r="BM71" s="4">
        <v>0.14000000000000001</v>
      </c>
      <c r="BN71" s="4">
        <v>0.3</v>
      </c>
      <c r="BO71" s="4"/>
      <c r="BP71" s="4"/>
      <c r="BQ71" s="4"/>
      <c r="BR71" s="4"/>
      <c r="BS71" s="4">
        <v>1.58</v>
      </c>
      <c r="BT71" s="4"/>
      <c r="BU71" s="4"/>
      <c r="BV71" s="4"/>
    </row>
    <row r="72" spans="1:74" x14ac:dyDescent="0.25">
      <c r="A72" s="3" t="s">
        <v>222</v>
      </c>
      <c r="B72" s="3" t="s">
        <v>223</v>
      </c>
      <c r="C72" s="3" t="s">
        <v>224</v>
      </c>
      <c r="D72" s="3" t="s">
        <v>77</v>
      </c>
      <c r="E72" s="4"/>
      <c r="F72" s="4"/>
      <c r="G72" s="4"/>
      <c r="H72" s="4"/>
      <c r="I72" s="4"/>
      <c r="J72" s="4"/>
      <c r="K72" s="4">
        <v>1.2500000000000001E-2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>
        <v>4.4999999999999998E-2</v>
      </c>
      <c r="AL72" s="4"/>
      <c r="AM72" s="4"/>
      <c r="AN72" s="4"/>
      <c r="AO72" s="4"/>
      <c r="AP72" s="4"/>
      <c r="AQ72" s="4">
        <v>1.2E-2</v>
      </c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>
        <v>0.1</v>
      </c>
      <c r="BD72" s="4"/>
      <c r="BE72" s="4"/>
      <c r="BF72" s="4"/>
      <c r="BG72" s="4"/>
      <c r="BH72" s="4"/>
      <c r="BI72" s="4"/>
      <c r="BJ72" s="4"/>
      <c r="BK72" s="4"/>
      <c r="BL72" s="4"/>
      <c r="BM72" s="4">
        <v>0.04</v>
      </c>
      <c r="BN72" s="4"/>
      <c r="BO72" s="4"/>
      <c r="BP72" s="4"/>
      <c r="BQ72" s="4">
        <v>0.27</v>
      </c>
      <c r="BR72" s="4"/>
      <c r="BS72" s="4"/>
      <c r="BT72" s="4"/>
      <c r="BU72" s="4"/>
      <c r="BV72" s="4"/>
    </row>
    <row r="73" spans="1:74" x14ac:dyDescent="0.25">
      <c r="A73" s="5" t="s">
        <v>225</v>
      </c>
      <c r="B73" s="5" t="s">
        <v>223</v>
      </c>
      <c r="C73" s="5" t="s">
        <v>226</v>
      </c>
      <c r="D73" s="5" t="s">
        <v>77</v>
      </c>
      <c r="E73" s="4"/>
      <c r="F73" s="4"/>
      <c r="G73" s="4">
        <v>3.2800000000000003E-2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>
        <v>1.5800000000000002E-2</v>
      </c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>
        <v>0.13</v>
      </c>
      <c r="BD73" s="4"/>
      <c r="BE73" s="4"/>
      <c r="BF73" s="4"/>
      <c r="BG73" s="4"/>
      <c r="BH73" s="4"/>
      <c r="BI73" s="4"/>
      <c r="BJ73" s="4"/>
      <c r="BK73" s="4"/>
      <c r="BL73" s="4"/>
      <c r="BM73" s="4">
        <v>0.06</v>
      </c>
      <c r="BN73" s="4"/>
      <c r="BO73" s="4"/>
      <c r="BP73" s="4"/>
      <c r="BQ73" s="4"/>
      <c r="BR73" s="4"/>
      <c r="BS73" s="4"/>
      <c r="BT73" s="4"/>
      <c r="BU73" s="4"/>
      <c r="BV73" s="4"/>
    </row>
    <row r="74" spans="1:74" x14ac:dyDescent="0.25">
      <c r="A74" s="3" t="s">
        <v>227</v>
      </c>
      <c r="B74" s="3" t="s">
        <v>228</v>
      </c>
      <c r="C74" s="3" t="s">
        <v>229</v>
      </c>
      <c r="D74" s="3" t="s">
        <v>77</v>
      </c>
      <c r="E74" s="4"/>
      <c r="F74" s="4"/>
      <c r="G74" s="4"/>
      <c r="H74" s="4">
        <v>2.63E-2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>
        <v>9.4500000000000001E-2</v>
      </c>
      <c r="AL74" s="4"/>
      <c r="AM74" s="4"/>
      <c r="AN74" s="4"/>
      <c r="AO74" s="4"/>
      <c r="AP74" s="4"/>
      <c r="AQ74" s="4">
        <v>2.52E-2</v>
      </c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>
        <v>0.21</v>
      </c>
      <c r="BD74" s="4"/>
      <c r="BE74" s="4"/>
      <c r="BF74" s="4"/>
      <c r="BG74" s="4"/>
      <c r="BH74" s="4"/>
      <c r="BI74" s="4"/>
      <c r="BJ74" s="4"/>
      <c r="BK74" s="4"/>
      <c r="BL74" s="4"/>
      <c r="BM74" s="4">
        <v>0.05</v>
      </c>
      <c r="BN74" s="4"/>
      <c r="BO74" s="4"/>
      <c r="BP74" s="4"/>
      <c r="BQ74" s="4">
        <v>0.56999999999999995</v>
      </c>
      <c r="BR74" s="4"/>
      <c r="BS74" s="4"/>
      <c r="BT74" s="4"/>
      <c r="BU74" s="4"/>
      <c r="BV74" s="4"/>
    </row>
    <row r="75" spans="1:74" x14ac:dyDescent="0.25">
      <c r="A75" s="5" t="s">
        <v>230</v>
      </c>
      <c r="B75" s="5" t="s">
        <v>231</v>
      </c>
      <c r="C75" s="5" t="s">
        <v>232</v>
      </c>
      <c r="D75" s="5" t="s">
        <v>77</v>
      </c>
      <c r="E75" s="4"/>
      <c r="F75" s="4"/>
      <c r="G75" s="4"/>
      <c r="H75" s="4"/>
      <c r="I75" s="4"/>
      <c r="J75" s="4"/>
      <c r="K75" s="4">
        <v>0.1313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>
        <v>0.23630000000000001</v>
      </c>
      <c r="AL75" s="4"/>
      <c r="AM75" s="4"/>
      <c r="AN75" s="4"/>
      <c r="AO75" s="4"/>
      <c r="AP75" s="4"/>
      <c r="AQ75" s="4">
        <v>6.3E-2</v>
      </c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>
        <v>0.53</v>
      </c>
      <c r="BD75" s="4"/>
      <c r="BE75" s="4"/>
      <c r="BF75" s="4"/>
      <c r="BG75" s="4"/>
      <c r="BH75" s="4"/>
      <c r="BI75" s="4"/>
      <c r="BJ75" s="4"/>
      <c r="BK75" s="4"/>
      <c r="BL75" s="4"/>
      <c r="BM75" s="4">
        <v>0.14000000000000001</v>
      </c>
      <c r="BN75" s="4">
        <v>0.3</v>
      </c>
      <c r="BO75" s="4"/>
      <c r="BP75" s="4"/>
      <c r="BQ75" s="4">
        <v>1.42</v>
      </c>
      <c r="BR75" s="4"/>
      <c r="BS75" s="4"/>
      <c r="BT75" s="4"/>
      <c r="BU75" s="4"/>
      <c r="BV75" s="4"/>
    </row>
    <row r="76" spans="1:74" x14ac:dyDescent="0.25">
      <c r="A76" s="3" t="s">
        <v>233</v>
      </c>
      <c r="B76" s="3" t="s">
        <v>234</v>
      </c>
      <c r="C76" s="3" t="s">
        <v>235</v>
      </c>
      <c r="D76" s="3" t="s">
        <v>77</v>
      </c>
      <c r="E76" s="4"/>
      <c r="F76" s="4"/>
      <c r="G76" s="4">
        <v>0.26250000000000001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>
        <v>0.47249999999999998</v>
      </c>
      <c r="AL76" s="4"/>
      <c r="AM76" s="4"/>
      <c r="AN76" s="4"/>
      <c r="AO76" s="4"/>
      <c r="AP76" s="4"/>
      <c r="AQ76" s="4">
        <v>0.126</v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>
        <v>1.05</v>
      </c>
      <c r="BD76" s="4"/>
      <c r="BE76" s="4"/>
      <c r="BF76" s="4"/>
      <c r="BG76" s="4"/>
      <c r="BH76" s="4"/>
      <c r="BI76" s="4"/>
      <c r="BJ76" s="4"/>
      <c r="BK76" s="4"/>
      <c r="BL76" s="4"/>
      <c r="BM76" s="4">
        <v>0.24</v>
      </c>
      <c r="BN76" s="4"/>
      <c r="BO76" s="4"/>
      <c r="BP76" s="4"/>
      <c r="BQ76" s="4">
        <v>2.83</v>
      </c>
      <c r="BR76" s="4"/>
      <c r="BS76" s="4"/>
      <c r="BT76" s="4"/>
      <c r="BU76" s="4"/>
      <c r="BV76" s="4"/>
    </row>
    <row r="77" spans="1:74" x14ac:dyDescent="0.25">
      <c r="A77" s="5" t="s">
        <v>236</v>
      </c>
      <c r="B77" s="5" t="s">
        <v>237</v>
      </c>
      <c r="C77" s="5" t="s">
        <v>238</v>
      </c>
      <c r="D77" s="5" t="s">
        <v>77</v>
      </c>
      <c r="E77" s="4"/>
      <c r="F77" s="4"/>
      <c r="G77" s="4"/>
      <c r="H77" s="4"/>
      <c r="I77" s="4"/>
      <c r="J77" s="4"/>
      <c r="K77" s="4">
        <v>1.2500000000000001E-2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>
        <v>4.4999999999999998E-2</v>
      </c>
      <c r="AL77" s="4"/>
      <c r="AM77" s="4"/>
      <c r="AN77" s="4"/>
      <c r="AO77" s="4"/>
      <c r="AP77" s="4"/>
      <c r="AQ77" s="4">
        <v>1.2E-2</v>
      </c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>
        <v>0.1</v>
      </c>
      <c r="BD77" s="4"/>
      <c r="BE77" s="4"/>
      <c r="BF77" s="4"/>
      <c r="BG77" s="4"/>
      <c r="BH77" s="4"/>
      <c r="BI77" s="4"/>
      <c r="BJ77" s="4"/>
      <c r="BK77" s="4"/>
      <c r="BL77" s="4"/>
      <c r="BM77" s="4">
        <v>0.04</v>
      </c>
      <c r="BN77" s="4"/>
      <c r="BO77" s="4"/>
      <c r="BP77" s="4"/>
      <c r="BQ77" s="4">
        <v>0.27</v>
      </c>
      <c r="BR77" s="4"/>
      <c r="BS77" s="4"/>
      <c r="BT77" s="4"/>
      <c r="BU77" s="4"/>
      <c r="BV77" s="4"/>
    </row>
    <row r="78" spans="1:74" x14ac:dyDescent="0.25">
      <c r="A78" s="3" t="s">
        <v>239</v>
      </c>
      <c r="B78" s="3" t="s">
        <v>240</v>
      </c>
      <c r="C78" s="3" t="s">
        <v>241</v>
      </c>
      <c r="D78" s="3" t="s">
        <v>242</v>
      </c>
      <c r="E78" s="4">
        <v>0.26250000000000001</v>
      </c>
      <c r="F78" s="4"/>
      <c r="G78" s="4">
        <v>0.26250000000000001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>
        <v>2</v>
      </c>
      <c r="AJ78" s="4"/>
      <c r="AK78" s="4">
        <v>0.47249999999999998</v>
      </c>
      <c r="AL78" s="4"/>
      <c r="AM78" s="4"/>
      <c r="AN78" s="4"/>
      <c r="AO78" s="4"/>
      <c r="AP78" s="4"/>
      <c r="AQ78" s="4">
        <v>0.504</v>
      </c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>
        <v>4.2</v>
      </c>
      <c r="BD78" s="4"/>
      <c r="BE78" s="4"/>
      <c r="BF78" s="4"/>
      <c r="BG78" s="4"/>
      <c r="BH78" s="4"/>
      <c r="BI78" s="4"/>
      <c r="BJ78" s="4"/>
      <c r="BK78" s="4"/>
      <c r="BL78" s="4"/>
      <c r="BM78" s="4">
        <v>2</v>
      </c>
      <c r="BN78" s="4">
        <v>3.42</v>
      </c>
      <c r="BO78" s="4"/>
      <c r="BP78" s="4"/>
      <c r="BQ78" s="4">
        <v>2.83</v>
      </c>
      <c r="BR78" s="4"/>
      <c r="BS78" s="4"/>
      <c r="BT78" s="4"/>
      <c r="BU78" s="4"/>
      <c r="BV78" s="4"/>
    </row>
    <row r="79" spans="1:74" x14ac:dyDescent="0.25">
      <c r="A79" s="5" t="s">
        <v>243</v>
      </c>
      <c r="B79" s="5" t="s">
        <v>240</v>
      </c>
      <c r="C79" s="5" t="s">
        <v>244</v>
      </c>
      <c r="D79" s="5" t="s">
        <v>242</v>
      </c>
      <c r="E79" s="4">
        <v>0.52500000000000002</v>
      </c>
      <c r="F79" s="4"/>
      <c r="G79" s="4">
        <v>0.26250000000000001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>
        <v>2</v>
      </c>
      <c r="AJ79" s="4"/>
      <c r="AK79" s="4">
        <v>0.47249999999999998</v>
      </c>
      <c r="AL79" s="4"/>
      <c r="AM79" s="4"/>
      <c r="AN79" s="4"/>
      <c r="AO79" s="4"/>
      <c r="AP79" s="4"/>
      <c r="AQ79" s="4">
        <v>0.75600000000000001</v>
      </c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>
        <v>6.3</v>
      </c>
      <c r="BD79" s="4"/>
      <c r="BE79" s="4"/>
      <c r="BF79" s="4"/>
      <c r="BG79" s="4"/>
      <c r="BH79" s="4"/>
      <c r="BI79" s="4"/>
      <c r="BJ79" s="4"/>
      <c r="BK79" s="4"/>
      <c r="BL79" s="4"/>
      <c r="BM79" s="4">
        <v>2</v>
      </c>
      <c r="BN79" s="4">
        <v>3.63</v>
      </c>
      <c r="BO79" s="4"/>
      <c r="BP79" s="4"/>
      <c r="BQ79" s="4">
        <v>2.83</v>
      </c>
      <c r="BR79" s="4"/>
      <c r="BS79" s="4"/>
      <c r="BT79" s="4"/>
      <c r="BU79" s="4"/>
      <c r="BV79" s="4"/>
    </row>
    <row r="80" spans="1:74" x14ac:dyDescent="0.25">
      <c r="A80" s="3" t="s">
        <v>245</v>
      </c>
      <c r="B80" s="3" t="s">
        <v>240</v>
      </c>
      <c r="C80" s="3" t="s">
        <v>246</v>
      </c>
      <c r="D80" s="3" t="s">
        <v>242</v>
      </c>
      <c r="E80" s="4">
        <v>0.78749999999999998</v>
      </c>
      <c r="F80" s="4"/>
      <c r="G80" s="4">
        <v>0.26250000000000001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>
        <v>2</v>
      </c>
      <c r="AJ80" s="4"/>
      <c r="AK80" s="4">
        <v>0.47249999999999998</v>
      </c>
      <c r="AL80" s="4"/>
      <c r="AM80" s="4"/>
      <c r="AN80" s="4"/>
      <c r="AO80" s="4"/>
      <c r="AP80" s="4"/>
      <c r="AQ80" s="4">
        <v>1.008</v>
      </c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>
        <v>8.4</v>
      </c>
      <c r="BD80" s="4"/>
      <c r="BE80" s="4"/>
      <c r="BF80" s="4"/>
      <c r="BG80" s="4"/>
      <c r="BH80" s="4"/>
      <c r="BI80" s="4"/>
      <c r="BJ80" s="4"/>
      <c r="BK80" s="4"/>
      <c r="BL80" s="4"/>
      <c r="BM80" s="4">
        <v>2</v>
      </c>
      <c r="BN80" s="4">
        <v>3.84</v>
      </c>
      <c r="BO80" s="4"/>
      <c r="BP80" s="4"/>
      <c r="BQ80" s="4">
        <v>2.83</v>
      </c>
      <c r="BR80" s="4"/>
      <c r="BS80" s="4"/>
      <c r="BT80" s="4"/>
      <c r="BU80" s="4"/>
      <c r="BV80" s="4"/>
    </row>
    <row r="81" spans="1:74" x14ac:dyDescent="0.25">
      <c r="A81" s="5" t="s">
        <v>247</v>
      </c>
      <c r="B81" s="5" t="s">
        <v>240</v>
      </c>
      <c r="C81" s="5" t="s">
        <v>248</v>
      </c>
      <c r="D81" s="5" t="s">
        <v>242</v>
      </c>
      <c r="E81" s="4">
        <v>1.05</v>
      </c>
      <c r="F81" s="4"/>
      <c r="G81" s="4">
        <v>0.26250000000000001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>
        <v>2</v>
      </c>
      <c r="AJ81" s="4"/>
      <c r="AK81" s="4">
        <v>0.47249999999999998</v>
      </c>
      <c r="AL81" s="4"/>
      <c r="AM81" s="4"/>
      <c r="AN81" s="4"/>
      <c r="AO81" s="4"/>
      <c r="AP81" s="4"/>
      <c r="AQ81" s="4">
        <v>1.26</v>
      </c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>
        <v>10.5</v>
      </c>
      <c r="BD81" s="4"/>
      <c r="BE81" s="4"/>
      <c r="BF81" s="4"/>
      <c r="BG81" s="4"/>
      <c r="BH81" s="4"/>
      <c r="BI81" s="4"/>
      <c r="BJ81" s="4"/>
      <c r="BK81" s="4"/>
      <c r="BL81" s="4"/>
      <c r="BM81" s="4">
        <v>2</v>
      </c>
      <c r="BN81" s="4">
        <v>4.05</v>
      </c>
      <c r="BO81" s="4"/>
      <c r="BP81" s="4"/>
      <c r="BQ81" s="4">
        <v>2.83</v>
      </c>
      <c r="BR81" s="4"/>
      <c r="BS81" s="4"/>
      <c r="BT81" s="4"/>
      <c r="BU81" s="4"/>
      <c r="BV81" s="4"/>
    </row>
    <row r="82" spans="1:74" x14ac:dyDescent="0.25">
      <c r="A82" s="3" t="s">
        <v>249</v>
      </c>
      <c r="B82" s="3" t="s">
        <v>240</v>
      </c>
      <c r="C82" s="3" t="s">
        <v>250</v>
      </c>
      <c r="D82" s="3" t="s">
        <v>242</v>
      </c>
      <c r="E82" s="4">
        <v>1.3125</v>
      </c>
      <c r="F82" s="4"/>
      <c r="G82" s="4">
        <v>0.26250000000000001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>
        <v>2</v>
      </c>
      <c r="AJ82" s="4"/>
      <c r="AK82" s="4">
        <v>0.47249999999999998</v>
      </c>
      <c r="AL82" s="4"/>
      <c r="AM82" s="4"/>
      <c r="AN82" s="4"/>
      <c r="AO82" s="4"/>
      <c r="AP82" s="4"/>
      <c r="AQ82" s="4">
        <v>1.512</v>
      </c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>
        <v>12.6</v>
      </c>
      <c r="BD82" s="4"/>
      <c r="BE82" s="4"/>
      <c r="BF82" s="4"/>
      <c r="BG82" s="4"/>
      <c r="BH82" s="4"/>
      <c r="BI82" s="4"/>
      <c r="BJ82" s="4"/>
      <c r="BK82" s="4"/>
      <c r="BL82" s="4"/>
      <c r="BM82" s="4">
        <v>2</v>
      </c>
      <c r="BN82" s="4">
        <v>4.26</v>
      </c>
      <c r="BO82" s="4"/>
      <c r="BP82" s="4"/>
      <c r="BQ82" s="4">
        <v>2.83</v>
      </c>
      <c r="BR82" s="4"/>
      <c r="BS82" s="4"/>
      <c r="BT82" s="4"/>
      <c r="BU82" s="4"/>
      <c r="BV82" s="4"/>
    </row>
    <row r="83" spans="1:74" x14ac:dyDescent="0.25">
      <c r="A83" s="5" t="s">
        <v>251</v>
      </c>
      <c r="B83" s="5" t="s">
        <v>240</v>
      </c>
      <c r="C83" s="5" t="s">
        <v>252</v>
      </c>
      <c r="D83" s="5" t="s">
        <v>242</v>
      </c>
      <c r="E83" s="4">
        <v>1.8374999999999999</v>
      </c>
      <c r="F83" s="4"/>
      <c r="G83" s="4">
        <v>0.26250000000000001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>
        <v>2</v>
      </c>
      <c r="AJ83" s="4"/>
      <c r="AK83" s="4">
        <v>0.47249999999999998</v>
      </c>
      <c r="AL83" s="4"/>
      <c r="AM83" s="4"/>
      <c r="AN83" s="4"/>
      <c r="AO83" s="4"/>
      <c r="AP83" s="4"/>
      <c r="AQ83" s="4">
        <v>2.016</v>
      </c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>
        <v>16.8</v>
      </c>
      <c r="BD83" s="4"/>
      <c r="BE83" s="4"/>
      <c r="BF83" s="4"/>
      <c r="BG83" s="4"/>
      <c r="BH83" s="4"/>
      <c r="BI83" s="4"/>
      <c r="BJ83" s="4"/>
      <c r="BK83" s="4"/>
      <c r="BL83" s="4"/>
      <c r="BM83" s="4">
        <v>2</v>
      </c>
      <c r="BN83" s="4">
        <v>4.68</v>
      </c>
      <c r="BO83" s="4"/>
      <c r="BP83" s="4"/>
      <c r="BQ83" s="4">
        <v>2.83</v>
      </c>
      <c r="BR83" s="4"/>
      <c r="BS83" s="4"/>
      <c r="BT83" s="4"/>
      <c r="BU83" s="4"/>
      <c r="BV83" s="4"/>
    </row>
    <row r="84" spans="1:74" x14ac:dyDescent="0.25">
      <c r="A84" s="3" t="s">
        <v>253</v>
      </c>
      <c r="B84" s="3" t="s">
        <v>240</v>
      </c>
      <c r="C84" s="3" t="s">
        <v>254</v>
      </c>
      <c r="D84" s="3" t="s">
        <v>242</v>
      </c>
      <c r="E84" s="4">
        <v>2.3624999999999998</v>
      </c>
      <c r="F84" s="4"/>
      <c r="G84" s="4">
        <v>0.26250000000000001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>
        <v>2</v>
      </c>
      <c r="AJ84" s="4"/>
      <c r="AK84" s="4">
        <v>0.47249999999999998</v>
      </c>
      <c r="AL84" s="4"/>
      <c r="AM84" s="4"/>
      <c r="AN84" s="4"/>
      <c r="AO84" s="4"/>
      <c r="AP84" s="4"/>
      <c r="AQ84" s="4">
        <v>2.52</v>
      </c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>
        <v>21</v>
      </c>
      <c r="BD84" s="4"/>
      <c r="BE84" s="4"/>
      <c r="BF84" s="4"/>
      <c r="BG84" s="4"/>
      <c r="BH84" s="4"/>
      <c r="BI84" s="4"/>
      <c r="BJ84" s="4"/>
      <c r="BK84" s="4"/>
      <c r="BL84" s="4"/>
      <c r="BM84" s="4">
        <v>2</v>
      </c>
      <c r="BN84" s="4">
        <v>5.0999999999999996</v>
      </c>
      <c r="BO84" s="4"/>
      <c r="BP84" s="4"/>
      <c r="BQ84" s="4">
        <v>2.83</v>
      </c>
      <c r="BR84" s="4"/>
      <c r="BS84" s="4"/>
      <c r="BT84" s="4"/>
      <c r="BU84" s="4"/>
      <c r="BV84" s="4"/>
    </row>
    <row r="85" spans="1:74" x14ac:dyDescent="0.25">
      <c r="A85" s="5" t="s">
        <v>255</v>
      </c>
      <c r="B85" s="5" t="s">
        <v>240</v>
      </c>
      <c r="C85" s="5" t="s">
        <v>256</v>
      </c>
      <c r="D85" s="5" t="s">
        <v>242</v>
      </c>
      <c r="E85" s="4">
        <v>0.1313</v>
      </c>
      <c r="F85" s="4"/>
      <c r="G85" s="4">
        <v>0.1313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>
        <v>2</v>
      </c>
      <c r="AJ85" s="4"/>
      <c r="AK85" s="4">
        <v>0.23630000000000001</v>
      </c>
      <c r="AL85" s="4"/>
      <c r="AM85" s="4"/>
      <c r="AN85" s="4"/>
      <c r="AO85" s="4"/>
      <c r="AP85" s="4"/>
      <c r="AQ85" s="4">
        <v>0.252</v>
      </c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>
        <v>2.1</v>
      </c>
      <c r="BD85" s="4"/>
      <c r="BE85" s="4"/>
      <c r="BF85" s="4"/>
      <c r="BG85" s="4"/>
      <c r="BH85" s="4"/>
      <c r="BI85" s="4"/>
      <c r="BJ85" s="4"/>
      <c r="BK85" s="4"/>
      <c r="BL85" s="4"/>
      <c r="BM85" s="4">
        <v>2</v>
      </c>
      <c r="BN85" s="4">
        <v>3.21</v>
      </c>
      <c r="BO85" s="4"/>
      <c r="BP85" s="4"/>
      <c r="BQ85" s="4">
        <v>1.42</v>
      </c>
      <c r="BR85" s="4"/>
      <c r="BS85" s="4"/>
      <c r="BT85" s="4"/>
      <c r="BU85" s="4"/>
      <c r="BV85" s="4"/>
    </row>
    <row r="86" spans="1:74" x14ac:dyDescent="0.25">
      <c r="A86" s="3" t="s">
        <v>257</v>
      </c>
      <c r="B86" s="3" t="s">
        <v>240</v>
      </c>
      <c r="C86" s="3" t="s">
        <v>258</v>
      </c>
      <c r="D86" s="3" t="s">
        <v>242</v>
      </c>
      <c r="E86" s="4">
        <v>0.26250000000000001</v>
      </c>
      <c r="F86" s="4"/>
      <c r="G86" s="4">
        <v>0.1313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v>2</v>
      </c>
      <c r="AJ86" s="4"/>
      <c r="AK86" s="4">
        <v>0.23630000000000001</v>
      </c>
      <c r="AL86" s="4"/>
      <c r="AM86" s="4"/>
      <c r="AN86" s="4"/>
      <c r="AO86" s="4"/>
      <c r="AP86" s="4"/>
      <c r="AQ86" s="4">
        <v>0.378</v>
      </c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>
        <v>3.15</v>
      </c>
      <c r="BD86" s="4"/>
      <c r="BE86" s="4"/>
      <c r="BF86" s="4"/>
      <c r="BG86" s="4"/>
      <c r="BH86" s="4"/>
      <c r="BI86" s="4"/>
      <c r="BJ86" s="4"/>
      <c r="BK86" s="4"/>
      <c r="BL86" s="4"/>
      <c r="BM86" s="4">
        <v>2</v>
      </c>
      <c r="BN86" s="4">
        <v>3.31</v>
      </c>
      <c r="BO86" s="4"/>
      <c r="BP86" s="4"/>
      <c r="BQ86" s="4">
        <v>1.42</v>
      </c>
      <c r="BR86" s="4"/>
      <c r="BS86" s="4"/>
      <c r="BT86" s="4"/>
      <c r="BU86" s="4"/>
      <c r="BV86" s="4"/>
    </row>
    <row r="87" spans="1:74" x14ac:dyDescent="0.25">
      <c r="A87" s="5" t="s">
        <v>259</v>
      </c>
      <c r="B87" s="5" t="s">
        <v>240</v>
      </c>
      <c r="C87" s="5" t="s">
        <v>260</v>
      </c>
      <c r="D87" s="5" t="s">
        <v>242</v>
      </c>
      <c r="E87" s="4">
        <v>0.39379999999999998</v>
      </c>
      <c r="F87" s="4"/>
      <c r="G87" s="4">
        <v>0.1313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>
        <v>2</v>
      </c>
      <c r="AJ87" s="4"/>
      <c r="AK87" s="4">
        <v>0.23630000000000001</v>
      </c>
      <c r="AL87" s="4"/>
      <c r="AM87" s="4"/>
      <c r="AN87" s="4"/>
      <c r="AO87" s="4"/>
      <c r="AP87" s="4"/>
      <c r="AQ87" s="4">
        <v>0.504</v>
      </c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>
        <v>4.2</v>
      </c>
      <c r="BD87" s="4"/>
      <c r="BE87" s="4"/>
      <c r="BF87" s="4"/>
      <c r="BG87" s="4"/>
      <c r="BH87" s="4"/>
      <c r="BI87" s="4"/>
      <c r="BJ87" s="4"/>
      <c r="BK87" s="4"/>
      <c r="BL87" s="4"/>
      <c r="BM87" s="4">
        <v>2</v>
      </c>
      <c r="BN87" s="4">
        <v>3.42</v>
      </c>
      <c r="BO87" s="4"/>
      <c r="BP87" s="4"/>
      <c r="BQ87" s="4">
        <v>1.42</v>
      </c>
      <c r="BR87" s="4"/>
      <c r="BS87" s="4"/>
      <c r="BT87" s="4"/>
      <c r="BU87" s="4"/>
      <c r="BV87" s="4"/>
    </row>
    <row r="88" spans="1:74" x14ac:dyDescent="0.25">
      <c r="A88" s="3" t="s">
        <v>261</v>
      </c>
      <c r="B88" s="3" t="s">
        <v>240</v>
      </c>
      <c r="C88" s="3" t="s">
        <v>262</v>
      </c>
      <c r="D88" s="3" t="s">
        <v>242</v>
      </c>
      <c r="E88" s="4">
        <v>0.52500000000000002</v>
      </c>
      <c r="F88" s="4"/>
      <c r="G88" s="4">
        <v>0.1313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>
        <v>2</v>
      </c>
      <c r="AJ88" s="4"/>
      <c r="AK88" s="4">
        <v>0.23630000000000001</v>
      </c>
      <c r="AL88" s="4"/>
      <c r="AM88" s="4"/>
      <c r="AN88" s="4"/>
      <c r="AO88" s="4"/>
      <c r="AP88" s="4"/>
      <c r="AQ88" s="4">
        <v>0.63</v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>
        <v>5.25</v>
      </c>
      <c r="BD88" s="4"/>
      <c r="BE88" s="4"/>
      <c r="BF88" s="4"/>
      <c r="BG88" s="4"/>
      <c r="BH88" s="4"/>
      <c r="BI88" s="4"/>
      <c r="BJ88" s="4"/>
      <c r="BK88" s="4"/>
      <c r="BL88" s="4"/>
      <c r="BM88" s="4">
        <v>2</v>
      </c>
      <c r="BN88" s="4">
        <v>3.52</v>
      </c>
      <c r="BO88" s="4"/>
      <c r="BP88" s="4"/>
      <c r="BQ88" s="4">
        <v>1.42</v>
      </c>
      <c r="BR88" s="4"/>
      <c r="BS88" s="4"/>
      <c r="BT88" s="4"/>
      <c r="BU88" s="4"/>
      <c r="BV88" s="4"/>
    </row>
    <row r="89" spans="1:74" x14ac:dyDescent="0.25">
      <c r="A89" s="5" t="s">
        <v>263</v>
      </c>
      <c r="B89" s="5" t="s">
        <v>240</v>
      </c>
      <c r="C89" s="5" t="s">
        <v>264</v>
      </c>
      <c r="D89" s="5" t="s">
        <v>242</v>
      </c>
      <c r="E89" s="4">
        <v>0.65620000000000001</v>
      </c>
      <c r="F89" s="4"/>
      <c r="G89" s="4">
        <v>0.1313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>
        <v>2</v>
      </c>
      <c r="AJ89" s="4"/>
      <c r="AK89" s="4">
        <v>0.23630000000000001</v>
      </c>
      <c r="AL89" s="4"/>
      <c r="AM89" s="4"/>
      <c r="AN89" s="4"/>
      <c r="AO89" s="4"/>
      <c r="AP89" s="4"/>
      <c r="AQ89" s="4">
        <v>0.75600000000000001</v>
      </c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>
        <v>6.3</v>
      </c>
      <c r="BD89" s="4"/>
      <c r="BE89" s="4"/>
      <c r="BF89" s="4"/>
      <c r="BG89" s="4"/>
      <c r="BH89" s="4"/>
      <c r="BI89" s="4"/>
      <c r="BJ89" s="4"/>
      <c r="BK89" s="4"/>
      <c r="BL89" s="4"/>
      <c r="BM89" s="4">
        <v>2</v>
      </c>
      <c r="BN89" s="4">
        <v>3.63</v>
      </c>
      <c r="BO89" s="4"/>
      <c r="BP89" s="4"/>
      <c r="BQ89" s="4">
        <v>1.42</v>
      </c>
      <c r="BR89" s="4"/>
      <c r="BS89" s="4"/>
      <c r="BT89" s="4"/>
      <c r="BU89" s="4"/>
      <c r="BV89" s="4"/>
    </row>
    <row r="90" spans="1:74" x14ac:dyDescent="0.25">
      <c r="A90" s="3" t="s">
        <v>265</v>
      </c>
      <c r="B90" s="3" t="s">
        <v>240</v>
      </c>
      <c r="C90" s="3" t="s">
        <v>266</v>
      </c>
      <c r="D90" s="3" t="s">
        <v>242</v>
      </c>
      <c r="E90" s="4">
        <v>0.91879999999999995</v>
      </c>
      <c r="F90" s="4"/>
      <c r="G90" s="4">
        <v>0.1313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>
        <v>2</v>
      </c>
      <c r="AJ90" s="4"/>
      <c r="AK90" s="4">
        <v>0.23630000000000001</v>
      </c>
      <c r="AL90" s="4"/>
      <c r="AM90" s="4"/>
      <c r="AN90" s="4"/>
      <c r="AO90" s="4"/>
      <c r="AP90" s="4"/>
      <c r="AQ90" s="4">
        <v>1.008</v>
      </c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>
        <v>8.4</v>
      </c>
      <c r="BD90" s="4"/>
      <c r="BE90" s="4"/>
      <c r="BF90" s="4"/>
      <c r="BG90" s="4"/>
      <c r="BH90" s="4"/>
      <c r="BI90" s="4"/>
      <c r="BJ90" s="4"/>
      <c r="BK90" s="4"/>
      <c r="BL90" s="4"/>
      <c r="BM90" s="4">
        <v>2</v>
      </c>
      <c r="BN90" s="4">
        <v>3.84</v>
      </c>
      <c r="BO90" s="4"/>
      <c r="BP90" s="4"/>
      <c r="BQ90" s="4">
        <v>1.42</v>
      </c>
      <c r="BR90" s="4"/>
      <c r="BS90" s="4"/>
      <c r="BT90" s="4"/>
      <c r="BU90" s="4"/>
      <c r="BV90" s="4"/>
    </row>
    <row r="91" spans="1:74" x14ac:dyDescent="0.25">
      <c r="A91" s="5" t="s">
        <v>267</v>
      </c>
      <c r="B91" s="5" t="s">
        <v>240</v>
      </c>
      <c r="C91" s="5" t="s">
        <v>268</v>
      </c>
      <c r="D91" s="5" t="s">
        <v>242</v>
      </c>
      <c r="E91" s="4">
        <v>1.1813</v>
      </c>
      <c r="F91" s="4"/>
      <c r="G91" s="4">
        <v>0.1313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>
        <v>2</v>
      </c>
      <c r="AJ91" s="4"/>
      <c r="AK91" s="4">
        <v>0.23630000000000001</v>
      </c>
      <c r="AL91" s="4"/>
      <c r="AM91" s="4"/>
      <c r="AN91" s="4"/>
      <c r="AO91" s="4"/>
      <c r="AP91" s="4"/>
      <c r="AQ91" s="4">
        <v>1.26</v>
      </c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>
        <v>10.5</v>
      </c>
      <c r="BD91" s="4"/>
      <c r="BE91" s="4"/>
      <c r="BF91" s="4"/>
      <c r="BG91" s="4"/>
      <c r="BH91" s="4"/>
      <c r="BI91" s="4"/>
      <c r="BJ91" s="4"/>
      <c r="BK91" s="4"/>
      <c r="BL91" s="4"/>
      <c r="BM91" s="4">
        <v>2</v>
      </c>
      <c r="BN91" s="4">
        <v>4.05</v>
      </c>
      <c r="BO91" s="4"/>
      <c r="BP91" s="4"/>
      <c r="BQ91" s="4">
        <v>1.42</v>
      </c>
      <c r="BR91" s="4"/>
      <c r="BS91" s="4"/>
      <c r="BT91" s="4"/>
      <c r="BU91" s="4"/>
      <c r="BV91" s="4"/>
    </row>
    <row r="92" spans="1:74" x14ac:dyDescent="0.25">
      <c r="A92" s="3" t="s">
        <v>269</v>
      </c>
      <c r="B92" s="3" t="s">
        <v>270</v>
      </c>
      <c r="C92" s="3" t="s">
        <v>271</v>
      </c>
      <c r="D92" s="3" t="s">
        <v>242</v>
      </c>
      <c r="E92" s="4">
        <v>2.625</v>
      </c>
      <c r="F92" s="4"/>
      <c r="G92" s="4"/>
      <c r="H92" s="4">
        <v>0.26250000000000001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v>4.1999999999999997E-3</v>
      </c>
      <c r="AI92" s="4"/>
      <c r="AJ92" s="4"/>
      <c r="AK92" s="4">
        <v>0.47249999999999998</v>
      </c>
      <c r="AL92" s="4"/>
      <c r="AM92" s="4"/>
      <c r="AN92" s="4"/>
      <c r="AO92" s="4"/>
      <c r="AP92" s="4"/>
      <c r="AQ92" s="4">
        <v>2.6459999999999999</v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>
        <v>22.05</v>
      </c>
      <c r="BD92" s="4"/>
      <c r="BE92" s="4"/>
      <c r="BF92" s="4"/>
      <c r="BG92" s="4"/>
      <c r="BH92" s="4"/>
      <c r="BI92" s="4"/>
      <c r="BJ92" s="4"/>
      <c r="BK92" s="4"/>
      <c r="BL92" s="4"/>
      <c r="BM92" s="4">
        <v>3</v>
      </c>
      <c r="BN92" s="4"/>
      <c r="BO92" s="4">
        <v>20</v>
      </c>
      <c r="BP92" s="4"/>
      <c r="BQ92" s="4">
        <v>2.83</v>
      </c>
      <c r="BR92" s="4"/>
      <c r="BS92" s="4"/>
      <c r="BT92" s="4"/>
      <c r="BU92" s="4"/>
      <c r="BV92" s="4"/>
    </row>
    <row r="93" spans="1:74" x14ac:dyDescent="0.25">
      <c r="A93" s="5" t="s">
        <v>272</v>
      </c>
      <c r="B93" s="5" t="s">
        <v>270</v>
      </c>
      <c r="C93" s="5" t="s">
        <v>273</v>
      </c>
      <c r="D93" s="5" t="s">
        <v>242</v>
      </c>
      <c r="E93" s="4">
        <v>3.15</v>
      </c>
      <c r="F93" s="4"/>
      <c r="G93" s="4"/>
      <c r="H93" s="4">
        <v>0.26250000000000001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v>4.4000000000000003E-3</v>
      </c>
      <c r="AI93" s="4"/>
      <c r="AJ93" s="4"/>
      <c r="AK93" s="4">
        <v>0.47249999999999998</v>
      </c>
      <c r="AL93" s="4"/>
      <c r="AM93" s="4"/>
      <c r="AN93" s="4"/>
      <c r="AO93" s="4"/>
      <c r="AP93" s="4"/>
      <c r="AQ93" s="4">
        <v>3.15</v>
      </c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>
        <v>26.25</v>
      </c>
      <c r="BD93" s="4"/>
      <c r="BE93" s="4"/>
      <c r="BF93" s="4"/>
      <c r="BG93" s="4"/>
      <c r="BH93" s="4"/>
      <c r="BI93" s="4"/>
      <c r="BJ93" s="4"/>
      <c r="BK93" s="4"/>
      <c r="BL93" s="4"/>
      <c r="BM93" s="4">
        <v>3</v>
      </c>
      <c r="BN93" s="4"/>
      <c r="BO93" s="4">
        <v>20</v>
      </c>
      <c r="BP93" s="4"/>
      <c r="BQ93" s="4">
        <v>2.83</v>
      </c>
      <c r="BR93" s="4"/>
      <c r="BS93" s="4"/>
      <c r="BT93" s="4"/>
      <c r="BU93" s="4"/>
      <c r="BV93" s="4"/>
    </row>
    <row r="94" spans="1:74" x14ac:dyDescent="0.25">
      <c r="A94" s="3" t="s">
        <v>274</v>
      </c>
      <c r="B94" s="3" t="s">
        <v>270</v>
      </c>
      <c r="C94" s="3" t="s">
        <v>275</v>
      </c>
      <c r="D94" s="3" t="s">
        <v>242</v>
      </c>
      <c r="E94" s="4">
        <v>4.2</v>
      </c>
      <c r="F94" s="4"/>
      <c r="G94" s="4"/>
      <c r="H94" s="4">
        <v>0.26250000000000001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v>4.8999999999999998E-3</v>
      </c>
      <c r="AI94" s="4"/>
      <c r="AJ94" s="4"/>
      <c r="AK94" s="4">
        <v>0.47249999999999998</v>
      </c>
      <c r="AL94" s="4"/>
      <c r="AM94" s="4"/>
      <c r="AN94" s="4"/>
      <c r="AO94" s="4"/>
      <c r="AP94" s="4"/>
      <c r="AQ94" s="4">
        <v>4.1580000000000004</v>
      </c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>
        <v>34.65</v>
      </c>
      <c r="BD94" s="4"/>
      <c r="BE94" s="4"/>
      <c r="BF94" s="4"/>
      <c r="BG94" s="4"/>
      <c r="BH94" s="4"/>
      <c r="BI94" s="4"/>
      <c r="BJ94" s="4"/>
      <c r="BK94" s="4"/>
      <c r="BL94" s="4"/>
      <c r="BM94" s="4">
        <v>3</v>
      </c>
      <c r="BN94" s="4"/>
      <c r="BO94" s="4">
        <v>20</v>
      </c>
      <c r="BP94" s="4"/>
      <c r="BQ94" s="4">
        <v>2.83</v>
      </c>
      <c r="BR94" s="4"/>
      <c r="BS94" s="4"/>
      <c r="BT94" s="4"/>
      <c r="BU94" s="4"/>
      <c r="BV94" s="4"/>
    </row>
    <row r="95" spans="1:74" x14ac:dyDescent="0.25">
      <c r="A95" s="5" t="s">
        <v>276</v>
      </c>
      <c r="B95" s="5" t="s">
        <v>270</v>
      </c>
      <c r="C95" s="5" t="s">
        <v>277</v>
      </c>
      <c r="D95" s="5" t="s">
        <v>242</v>
      </c>
      <c r="E95" s="4">
        <v>5.25</v>
      </c>
      <c r="F95" s="4"/>
      <c r="G95" s="4"/>
      <c r="H95" s="4">
        <v>0.26250000000000001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v>5.4000000000000003E-3</v>
      </c>
      <c r="AI95" s="4"/>
      <c r="AJ95" s="4"/>
      <c r="AK95" s="4">
        <v>0.47249999999999998</v>
      </c>
      <c r="AL95" s="4"/>
      <c r="AM95" s="4"/>
      <c r="AN95" s="4"/>
      <c r="AO95" s="4"/>
      <c r="AP95" s="4"/>
      <c r="AQ95" s="4">
        <v>5.1660000000000004</v>
      </c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>
        <v>43.05</v>
      </c>
      <c r="BD95" s="4"/>
      <c r="BE95" s="4"/>
      <c r="BF95" s="4"/>
      <c r="BG95" s="4"/>
      <c r="BH95" s="4"/>
      <c r="BI95" s="4"/>
      <c r="BJ95" s="4"/>
      <c r="BK95" s="4"/>
      <c r="BL95" s="4"/>
      <c r="BM95" s="4">
        <v>3</v>
      </c>
      <c r="BN95" s="4"/>
      <c r="BO95" s="4">
        <v>20</v>
      </c>
      <c r="BP95" s="4"/>
      <c r="BQ95" s="4">
        <v>2.83</v>
      </c>
      <c r="BR95" s="4"/>
      <c r="BS95" s="4"/>
      <c r="BT95" s="4"/>
      <c r="BU95" s="4"/>
      <c r="BV95" s="4"/>
    </row>
    <row r="96" spans="1:74" x14ac:dyDescent="0.25">
      <c r="A96" s="3" t="s">
        <v>278</v>
      </c>
      <c r="B96" s="3" t="s">
        <v>270</v>
      </c>
      <c r="C96" s="3" t="s">
        <v>279</v>
      </c>
      <c r="D96" s="3" t="s">
        <v>242</v>
      </c>
      <c r="E96" s="4">
        <v>6.5625</v>
      </c>
      <c r="F96" s="4"/>
      <c r="G96" s="4"/>
      <c r="H96" s="4">
        <v>0.26250000000000001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v>6.0000000000000001E-3</v>
      </c>
      <c r="AI96" s="4"/>
      <c r="AJ96" s="4"/>
      <c r="AK96" s="4">
        <v>0.47249999999999998</v>
      </c>
      <c r="AL96" s="4"/>
      <c r="AM96" s="4"/>
      <c r="AN96" s="4"/>
      <c r="AO96" s="4"/>
      <c r="AP96" s="4"/>
      <c r="AQ96" s="4">
        <v>6.4260000000000002</v>
      </c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>
        <v>53.55</v>
      </c>
      <c r="BD96" s="4"/>
      <c r="BE96" s="4"/>
      <c r="BF96" s="4"/>
      <c r="BG96" s="4"/>
      <c r="BH96" s="4"/>
      <c r="BI96" s="4"/>
      <c r="BJ96" s="4"/>
      <c r="BK96" s="4"/>
      <c r="BL96" s="4"/>
      <c r="BM96" s="4">
        <v>3</v>
      </c>
      <c r="BN96" s="4"/>
      <c r="BO96" s="4">
        <v>20</v>
      </c>
      <c r="BP96" s="4"/>
      <c r="BQ96" s="4">
        <v>2.83</v>
      </c>
      <c r="BR96" s="4"/>
      <c r="BS96" s="4"/>
      <c r="BT96" s="4"/>
      <c r="BU96" s="4"/>
      <c r="BV96" s="4"/>
    </row>
    <row r="97" spans="1:74" x14ac:dyDescent="0.25">
      <c r="A97" s="5" t="s">
        <v>280</v>
      </c>
      <c r="B97" s="5" t="s">
        <v>281</v>
      </c>
      <c r="C97" s="5" t="s">
        <v>282</v>
      </c>
      <c r="D97" s="5" t="s">
        <v>242</v>
      </c>
      <c r="E97" s="4"/>
      <c r="F97" s="4"/>
      <c r="G97" s="4"/>
      <c r="H97" s="4">
        <v>0.1313</v>
      </c>
      <c r="I97" s="4">
        <v>2.625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v>4.7000000000000002E-3</v>
      </c>
      <c r="AI97" s="4"/>
      <c r="AJ97" s="4"/>
      <c r="AK97" s="4">
        <v>0.23630000000000001</v>
      </c>
      <c r="AL97" s="4"/>
      <c r="AM97" s="4"/>
      <c r="AN97" s="4"/>
      <c r="AO97" s="4"/>
      <c r="AP97" s="4"/>
      <c r="AQ97" s="4">
        <v>0.81899999999999995</v>
      </c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>
        <v>21.52</v>
      </c>
      <c r="BD97" s="4"/>
      <c r="BE97" s="4"/>
      <c r="BF97" s="4"/>
      <c r="BG97" s="4"/>
      <c r="BH97" s="4"/>
      <c r="BI97" s="4"/>
      <c r="BJ97" s="4"/>
      <c r="BK97" s="4"/>
      <c r="BL97" s="4"/>
      <c r="BM97" s="4">
        <v>3</v>
      </c>
      <c r="BN97" s="4"/>
      <c r="BO97" s="4">
        <v>20</v>
      </c>
      <c r="BP97" s="4"/>
      <c r="BQ97" s="4">
        <v>1.42</v>
      </c>
      <c r="BR97" s="4"/>
      <c r="BS97" s="4"/>
      <c r="BT97" s="4"/>
      <c r="BU97" s="4"/>
      <c r="BV97" s="4"/>
    </row>
    <row r="98" spans="1:74" x14ac:dyDescent="0.25">
      <c r="A98" s="3" t="s">
        <v>283</v>
      </c>
      <c r="B98" s="3" t="s">
        <v>281</v>
      </c>
      <c r="C98" s="3" t="s">
        <v>284</v>
      </c>
      <c r="D98" s="3" t="s">
        <v>242</v>
      </c>
      <c r="E98" s="4"/>
      <c r="F98" s="4"/>
      <c r="G98" s="4"/>
      <c r="H98" s="4">
        <v>0.1313</v>
      </c>
      <c r="I98" s="4">
        <v>3.2812000000000001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v>5.1000000000000004E-3</v>
      </c>
      <c r="AI98" s="4"/>
      <c r="AJ98" s="4"/>
      <c r="AK98" s="4">
        <v>0.23630000000000001</v>
      </c>
      <c r="AL98" s="4"/>
      <c r="AM98" s="4"/>
      <c r="AN98" s="4"/>
      <c r="AO98" s="4"/>
      <c r="AP98" s="4"/>
      <c r="AQ98" s="4">
        <v>1.008</v>
      </c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>
        <v>26.77</v>
      </c>
      <c r="BD98" s="4"/>
      <c r="BE98" s="4"/>
      <c r="BF98" s="4"/>
      <c r="BG98" s="4"/>
      <c r="BH98" s="4"/>
      <c r="BI98" s="4"/>
      <c r="BJ98" s="4"/>
      <c r="BK98" s="4"/>
      <c r="BL98" s="4"/>
      <c r="BM98" s="4">
        <v>3</v>
      </c>
      <c r="BN98" s="4"/>
      <c r="BO98" s="4">
        <v>20</v>
      </c>
      <c r="BP98" s="4"/>
      <c r="BQ98" s="4">
        <v>1.42</v>
      </c>
      <c r="BR98" s="4"/>
      <c r="BS98" s="4"/>
      <c r="BT98" s="4"/>
      <c r="BU98" s="4"/>
      <c r="BV98" s="4"/>
    </row>
    <row r="99" spans="1:74" x14ac:dyDescent="0.25">
      <c r="A99" s="5" t="s">
        <v>285</v>
      </c>
      <c r="B99" s="5" t="s">
        <v>281</v>
      </c>
      <c r="C99" s="5" t="s">
        <v>286</v>
      </c>
      <c r="D99" s="5" t="s">
        <v>242</v>
      </c>
      <c r="E99" s="4"/>
      <c r="F99" s="4"/>
      <c r="G99" s="4"/>
      <c r="H99" s="4">
        <v>0.1313</v>
      </c>
      <c r="I99" s="4">
        <v>4.9218999999999999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v>6.1999999999999998E-3</v>
      </c>
      <c r="AI99" s="4"/>
      <c r="AJ99" s="4"/>
      <c r="AK99" s="4">
        <v>0.23630000000000001</v>
      </c>
      <c r="AL99" s="4"/>
      <c r="AM99" s="4"/>
      <c r="AN99" s="4"/>
      <c r="AO99" s="4"/>
      <c r="AP99" s="4"/>
      <c r="AQ99" s="4">
        <v>1.4804999999999999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>
        <v>39.9</v>
      </c>
      <c r="BD99" s="4"/>
      <c r="BE99" s="4"/>
      <c r="BF99" s="4"/>
      <c r="BG99" s="4"/>
      <c r="BH99" s="4"/>
      <c r="BI99" s="4"/>
      <c r="BJ99" s="4"/>
      <c r="BK99" s="4"/>
      <c r="BL99" s="4"/>
      <c r="BM99" s="4">
        <v>3</v>
      </c>
      <c r="BN99" s="4"/>
      <c r="BO99" s="4">
        <v>20</v>
      </c>
      <c r="BP99" s="4"/>
      <c r="BQ99" s="4">
        <v>1.42</v>
      </c>
      <c r="BR99" s="4"/>
      <c r="BS99" s="4"/>
      <c r="BT99" s="4"/>
      <c r="BU99" s="4"/>
      <c r="BV99" s="4"/>
    </row>
    <row r="100" spans="1:74" x14ac:dyDescent="0.25">
      <c r="A100" s="3" t="s">
        <v>287</v>
      </c>
      <c r="B100" s="3" t="s">
        <v>281</v>
      </c>
      <c r="C100" s="3" t="s">
        <v>288</v>
      </c>
      <c r="D100" s="3" t="s">
        <v>242</v>
      </c>
      <c r="E100" s="4"/>
      <c r="F100" s="4"/>
      <c r="G100" s="4"/>
      <c r="H100" s="4">
        <v>0.1313</v>
      </c>
      <c r="I100" s="4">
        <v>6.5625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v>7.1999999999999998E-3</v>
      </c>
      <c r="AI100" s="4"/>
      <c r="AJ100" s="4"/>
      <c r="AK100" s="4">
        <v>0.23630000000000001</v>
      </c>
      <c r="AL100" s="4"/>
      <c r="AM100" s="4"/>
      <c r="AN100" s="4"/>
      <c r="AO100" s="4"/>
      <c r="AP100" s="4"/>
      <c r="AQ100" s="4">
        <v>1.9530000000000001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>
        <v>53.02</v>
      </c>
      <c r="BD100" s="4"/>
      <c r="BE100" s="4"/>
      <c r="BF100" s="4"/>
      <c r="BG100" s="4"/>
      <c r="BH100" s="4"/>
      <c r="BI100" s="4"/>
      <c r="BJ100" s="4"/>
      <c r="BK100" s="4"/>
      <c r="BL100" s="4"/>
      <c r="BM100" s="4">
        <v>3</v>
      </c>
      <c r="BN100" s="4"/>
      <c r="BO100" s="4">
        <v>20</v>
      </c>
      <c r="BP100" s="4"/>
      <c r="BQ100" s="4">
        <v>1.42</v>
      </c>
      <c r="BR100" s="4"/>
      <c r="BS100" s="4"/>
      <c r="BT100" s="4"/>
      <c r="BU100" s="4"/>
      <c r="BV100" s="4"/>
    </row>
    <row r="101" spans="1:74" x14ac:dyDescent="0.25">
      <c r="A101" s="5" t="s">
        <v>289</v>
      </c>
      <c r="B101" s="5" t="s">
        <v>281</v>
      </c>
      <c r="C101" s="5" t="s">
        <v>290</v>
      </c>
      <c r="D101" s="5" t="s">
        <v>242</v>
      </c>
      <c r="E101" s="4"/>
      <c r="F101" s="4"/>
      <c r="G101" s="4"/>
      <c r="H101" s="4">
        <v>0.1313</v>
      </c>
      <c r="I101" s="4">
        <v>8.2030999999999992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v>8.3000000000000001E-3</v>
      </c>
      <c r="AI101" s="4"/>
      <c r="AJ101" s="4"/>
      <c r="AK101" s="4">
        <v>0.23630000000000001</v>
      </c>
      <c r="AL101" s="4"/>
      <c r="AM101" s="4"/>
      <c r="AN101" s="4"/>
      <c r="AO101" s="4"/>
      <c r="AP101" s="4"/>
      <c r="AQ101" s="4">
        <v>2.4255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>
        <v>66.150000000000006</v>
      </c>
      <c r="BD101" s="4"/>
      <c r="BE101" s="4"/>
      <c r="BF101" s="4"/>
      <c r="BG101" s="4"/>
      <c r="BH101" s="4"/>
      <c r="BI101" s="4"/>
      <c r="BJ101" s="4"/>
      <c r="BK101" s="4"/>
      <c r="BL101" s="4"/>
      <c r="BM101" s="4">
        <v>3</v>
      </c>
      <c r="BN101" s="4"/>
      <c r="BO101" s="4">
        <v>20</v>
      </c>
      <c r="BP101" s="4"/>
      <c r="BQ101" s="4">
        <v>1.42</v>
      </c>
      <c r="BR101" s="4"/>
      <c r="BS101" s="4"/>
      <c r="BT101" s="4"/>
      <c r="BU101" s="4"/>
      <c r="BV101" s="4"/>
    </row>
    <row r="102" spans="1:74" x14ac:dyDescent="0.25">
      <c r="A102" s="3" t="s">
        <v>291</v>
      </c>
      <c r="B102" s="3" t="s">
        <v>281</v>
      </c>
      <c r="C102" s="3" t="s">
        <v>292</v>
      </c>
      <c r="D102" s="3" t="s">
        <v>242</v>
      </c>
      <c r="E102" s="4"/>
      <c r="F102" s="4"/>
      <c r="G102" s="4"/>
      <c r="H102" s="4">
        <v>0.1313</v>
      </c>
      <c r="I102" s="4">
        <v>9.8437999999999999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v>9.2999999999999992E-3</v>
      </c>
      <c r="AI102" s="4"/>
      <c r="AJ102" s="4"/>
      <c r="AK102" s="4">
        <v>0.23630000000000001</v>
      </c>
      <c r="AL102" s="4"/>
      <c r="AM102" s="4"/>
      <c r="AN102" s="4"/>
      <c r="AO102" s="4"/>
      <c r="AP102" s="4"/>
      <c r="AQ102" s="4">
        <v>2.8980000000000001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>
        <v>79.28</v>
      </c>
      <c r="BD102" s="4"/>
      <c r="BE102" s="4"/>
      <c r="BF102" s="4"/>
      <c r="BG102" s="4"/>
      <c r="BH102" s="4"/>
      <c r="BI102" s="4"/>
      <c r="BJ102" s="4"/>
      <c r="BK102" s="4"/>
      <c r="BL102" s="4"/>
      <c r="BM102" s="4">
        <v>3</v>
      </c>
      <c r="BN102" s="4"/>
      <c r="BO102" s="4">
        <v>20</v>
      </c>
      <c r="BP102" s="4"/>
      <c r="BQ102" s="4">
        <v>1.42</v>
      </c>
      <c r="BR102" s="4"/>
      <c r="BS102" s="4"/>
      <c r="BT102" s="4"/>
      <c r="BU102" s="4"/>
      <c r="BV102" s="4"/>
    </row>
    <row r="103" spans="1:74" x14ac:dyDescent="0.25">
      <c r="A103" s="5" t="s">
        <v>293</v>
      </c>
      <c r="B103" s="5" t="s">
        <v>281</v>
      </c>
      <c r="C103" s="5" t="s">
        <v>294</v>
      </c>
      <c r="D103" s="5" t="s">
        <v>242</v>
      </c>
      <c r="E103" s="4">
        <v>6.5625</v>
      </c>
      <c r="F103" s="4"/>
      <c r="G103" s="4"/>
      <c r="H103" s="4">
        <v>0.26250000000000001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v>6.0000000000000001E-3</v>
      </c>
      <c r="AI103" s="4"/>
      <c r="AJ103" s="4"/>
      <c r="AK103" s="4">
        <v>0.47249999999999998</v>
      </c>
      <c r="AL103" s="4"/>
      <c r="AM103" s="4"/>
      <c r="AN103" s="4"/>
      <c r="AO103" s="4"/>
      <c r="AP103" s="4"/>
      <c r="AQ103" s="4">
        <v>6.4260000000000002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>
        <v>53.55</v>
      </c>
      <c r="BD103" s="4"/>
      <c r="BE103" s="4"/>
      <c r="BF103" s="4"/>
      <c r="BG103" s="4"/>
      <c r="BH103" s="4"/>
      <c r="BI103" s="4"/>
      <c r="BJ103" s="4"/>
      <c r="BK103" s="4"/>
      <c r="BL103" s="4"/>
      <c r="BM103" s="4">
        <v>3</v>
      </c>
      <c r="BN103" s="4"/>
      <c r="BO103" s="4">
        <v>20</v>
      </c>
      <c r="BP103" s="4"/>
      <c r="BQ103" s="4">
        <v>2.83</v>
      </c>
      <c r="BR103" s="4"/>
      <c r="BS103" s="4"/>
      <c r="BT103" s="4"/>
      <c r="BU103" s="4"/>
      <c r="BV103" s="4"/>
    </row>
    <row r="104" spans="1:74" x14ac:dyDescent="0.25">
      <c r="A104" s="3" t="s">
        <v>295</v>
      </c>
      <c r="B104" s="3" t="s">
        <v>281</v>
      </c>
      <c r="C104" s="3" t="s">
        <v>296</v>
      </c>
      <c r="D104" s="3" t="s">
        <v>242</v>
      </c>
      <c r="E104" s="4">
        <v>9.8437999999999999</v>
      </c>
      <c r="F104" s="4"/>
      <c r="G104" s="4"/>
      <c r="H104" s="4">
        <v>0.26250000000000001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v>7.4999999999999997E-3</v>
      </c>
      <c r="AI104" s="4"/>
      <c r="AJ104" s="4"/>
      <c r="AK104" s="4">
        <v>0.47249999999999998</v>
      </c>
      <c r="AL104" s="4"/>
      <c r="AM104" s="4"/>
      <c r="AN104" s="4"/>
      <c r="AO104" s="4"/>
      <c r="AP104" s="4"/>
      <c r="AQ104" s="4">
        <v>9.5760000000000005</v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>
        <v>79.8</v>
      </c>
      <c r="BD104" s="4"/>
      <c r="BE104" s="4"/>
      <c r="BF104" s="4"/>
      <c r="BG104" s="4"/>
      <c r="BH104" s="4"/>
      <c r="BI104" s="4"/>
      <c r="BJ104" s="4"/>
      <c r="BK104" s="4"/>
      <c r="BL104" s="4"/>
      <c r="BM104" s="4">
        <v>3</v>
      </c>
      <c r="BN104" s="4"/>
      <c r="BO104" s="4">
        <v>20</v>
      </c>
      <c r="BP104" s="4"/>
      <c r="BQ104" s="4">
        <v>2.83</v>
      </c>
      <c r="BR104" s="4"/>
      <c r="BS104" s="4"/>
      <c r="BT104" s="4"/>
      <c r="BU104" s="4"/>
      <c r="BV104" s="4"/>
    </row>
    <row r="105" spans="1:74" x14ac:dyDescent="0.25">
      <c r="A105" s="5" t="s">
        <v>297</v>
      </c>
      <c r="B105" s="5" t="s">
        <v>298</v>
      </c>
      <c r="C105" s="5" t="s">
        <v>299</v>
      </c>
      <c r="D105" s="5" t="s">
        <v>242</v>
      </c>
      <c r="E105" s="4"/>
      <c r="F105" s="4"/>
      <c r="G105" s="4"/>
      <c r="H105" s="4">
        <v>0.26250000000000001</v>
      </c>
      <c r="I105" s="4">
        <v>3.9375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4.7999999999999996E-3</v>
      </c>
      <c r="AI105" s="4"/>
      <c r="AJ105" s="4"/>
      <c r="AK105" s="4">
        <v>0.47249999999999998</v>
      </c>
      <c r="AL105" s="4"/>
      <c r="AM105" s="4"/>
      <c r="AN105" s="4"/>
      <c r="AO105" s="4"/>
      <c r="AP105" s="4"/>
      <c r="AQ105" s="4">
        <v>1.6379999999999999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>
        <v>32.549999999999997</v>
      </c>
      <c r="BD105" s="4"/>
      <c r="BE105" s="4"/>
      <c r="BF105" s="4"/>
      <c r="BG105" s="4"/>
      <c r="BH105" s="4"/>
      <c r="BI105" s="4"/>
      <c r="BJ105" s="4"/>
      <c r="BK105" s="4"/>
      <c r="BL105" s="4"/>
      <c r="BM105" s="4">
        <v>3</v>
      </c>
      <c r="BN105" s="4"/>
      <c r="BO105" s="4">
        <v>20</v>
      </c>
      <c r="BP105" s="4"/>
      <c r="BQ105" s="4">
        <v>2.83</v>
      </c>
      <c r="BR105" s="4"/>
      <c r="BS105" s="4"/>
      <c r="BT105" s="4"/>
      <c r="BU105" s="4"/>
      <c r="BV105" s="4"/>
    </row>
    <row r="106" spans="1:74" x14ac:dyDescent="0.25">
      <c r="A106" s="3" t="s">
        <v>300</v>
      </c>
      <c r="B106" s="3" t="s">
        <v>298</v>
      </c>
      <c r="C106" s="3" t="s">
        <v>301</v>
      </c>
      <c r="D106" s="3" t="s">
        <v>242</v>
      </c>
      <c r="E106" s="4"/>
      <c r="F106" s="4"/>
      <c r="G106" s="4"/>
      <c r="H106" s="4">
        <v>0.26250000000000001</v>
      </c>
      <c r="I106" s="4">
        <v>6.5625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v>6.0000000000000001E-3</v>
      </c>
      <c r="AI106" s="4"/>
      <c r="AJ106" s="4"/>
      <c r="AK106" s="4">
        <v>0.47249999999999998</v>
      </c>
      <c r="AL106" s="4"/>
      <c r="AM106" s="4"/>
      <c r="AN106" s="4"/>
      <c r="AO106" s="4"/>
      <c r="AP106" s="4"/>
      <c r="AQ106" s="4">
        <v>2.6459999999999999</v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>
        <v>53.55</v>
      </c>
      <c r="BD106" s="4"/>
      <c r="BE106" s="4"/>
      <c r="BF106" s="4"/>
      <c r="BG106" s="4"/>
      <c r="BH106" s="4"/>
      <c r="BI106" s="4"/>
      <c r="BJ106" s="4"/>
      <c r="BK106" s="4"/>
      <c r="BL106" s="4"/>
      <c r="BM106" s="4">
        <v>3</v>
      </c>
      <c r="BN106" s="4"/>
      <c r="BO106" s="4">
        <v>20</v>
      </c>
      <c r="BP106" s="4"/>
      <c r="BQ106" s="4">
        <v>2.83</v>
      </c>
      <c r="BR106" s="4"/>
      <c r="BS106" s="4"/>
      <c r="BT106" s="4"/>
      <c r="BU106" s="4"/>
      <c r="BV106" s="4"/>
    </row>
    <row r="107" spans="1:74" x14ac:dyDescent="0.25">
      <c r="A107" s="5" t="s">
        <v>302</v>
      </c>
      <c r="B107" s="5" t="s">
        <v>298</v>
      </c>
      <c r="C107" s="5" t="s">
        <v>303</v>
      </c>
      <c r="D107" s="5" t="s">
        <v>242</v>
      </c>
      <c r="E107" s="4"/>
      <c r="F107" s="4"/>
      <c r="G107" s="4"/>
      <c r="H107" s="4">
        <v>0.26250000000000001</v>
      </c>
      <c r="I107" s="4">
        <v>9.8437999999999999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v>7.4999999999999997E-3</v>
      </c>
      <c r="AI107" s="4"/>
      <c r="AJ107" s="4"/>
      <c r="AK107" s="4">
        <v>0.47249999999999998</v>
      </c>
      <c r="AL107" s="4"/>
      <c r="AM107" s="4"/>
      <c r="AN107" s="4"/>
      <c r="AO107" s="4"/>
      <c r="AP107" s="4"/>
      <c r="AQ107" s="4">
        <v>3.9060000000000001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>
        <v>79.8</v>
      </c>
      <c r="BD107" s="4"/>
      <c r="BE107" s="4"/>
      <c r="BF107" s="4"/>
      <c r="BG107" s="4"/>
      <c r="BH107" s="4"/>
      <c r="BI107" s="4"/>
      <c r="BJ107" s="4"/>
      <c r="BK107" s="4"/>
      <c r="BL107" s="4"/>
      <c r="BM107" s="4">
        <v>3</v>
      </c>
      <c r="BN107" s="4"/>
      <c r="BO107" s="4">
        <v>20</v>
      </c>
      <c r="BP107" s="4"/>
      <c r="BQ107" s="4">
        <v>2.83</v>
      </c>
      <c r="BR107" s="4"/>
      <c r="BS107" s="4"/>
      <c r="BT107" s="4"/>
      <c r="BU107" s="4"/>
      <c r="BV107" s="4"/>
    </row>
    <row r="108" spans="1:74" x14ac:dyDescent="0.25">
      <c r="A108" s="3" t="s">
        <v>304</v>
      </c>
      <c r="B108" s="3" t="s">
        <v>305</v>
      </c>
      <c r="C108" s="3" t="s">
        <v>306</v>
      </c>
      <c r="D108" s="3" t="s">
        <v>242</v>
      </c>
      <c r="E108" s="4"/>
      <c r="F108" s="4"/>
      <c r="G108" s="4"/>
      <c r="H108" s="4"/>
      <c r="I108" s="4">
        <v>1.3125</v>
      </c>
      <c r="J108" s="4"/>
      <c r="K108" s="4">
        <v>0.1313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>
        <v>1</v>
      </c>
      <c r="AH108" s="4"/>
      <c r="AI108" s="4"/>
      <c r="AJ108" s="4">
        <v>1</v>
      </c>
      <c r="AK108" s="4"/>
      <c r="AL108" s="4"/>
      <c r="AM108" s="4"/>
      <c r="AN108" s="4"/>
      <c r="AO108" s="4"/>
      <c r="AP108" s="4"/>
      <c r="AQ108" s="4">
        <v>0.504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>
        <v>10.5</v>
      </c>
      <c r="BD108" s="4"/>
      <c r="BE108" s="4"/>
      <c r="BF108" s="4"/>
      <c r="BG108" s="4"/>
      <c r="BH108" s="4"/>
      <c r="BI108" s="4"/>
      <c r="BJ108" s="4"/>
      <c r="BK108" s="4"/>
      <c r="BL108" s="4"/>
      <c r="BM108" s="4">
        <v>2.37</v>
      </c>
      <c r="BN108" s="4"/>
      <c r="BO108" s="4"/>
      <c r="BP108" s="4">
        <v>25</v>
      </c>
      <c r="BQ108" s="4"/>
      <c r="BR108" s="4"/>
      <c r="BS108" s="4"/>
      <c r="BT108" s="4"/>
      <c r="BU108" s="4"/>
      <c r="BV108" s="4"/>
    </row>
    <row r="109" spans="1:74" x14ac:dyDescent="0.25">
      <c r="A109" s="5" t="s">
        <v>307</v>
      </c>
      <c r="B109" s="5" t="s">
        <v>305</v>
      </c>
      <c r="C109" s="5" t="s">
        <v>308</v>
      </c>
      <c r="D109" s="5" t="s">
        <v>242</v>
      </c>
      <c r="E109" s="4"/>
      <c r="F109" s="4"/>
      <c r="G109" s="4"/>
      <c r="H109" s="4"/>
      <c r="I109" s="4">
        <v>3.2812000000000001</v>
      </c>
      <c r="J109" s="4"/>
      <c r="K109" s="4">
        <v>0.1313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>
        <v>1</v>
      </c>
      <c r="AH109" s="4"/>
      <c r="AI109" s="4"/>
      <c r="AJ109" s="4">
        <v>1</v>
      </c>
      <c r="AK109" s="4"/>
      <c r="AL109" s="4"/>
      <c r="AM109" s="4"/>
      <c r="AN109" s="4"/>
      <c r="AO109" s="4"/>
      <c r="AP109" s="4"/>
      <c r="AQ109" s="4">
        <v>1.26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>
        <v>26.25</v>
      </c>
      <c r="BD109" s="4"/>
      <c r="BE109" s="4"/>
      <c r="BF109" s="4"/>
      <c r="BG109" s="4"/>
      <c r="BH109" s="4"/>
      <c r="BI109" s="4"/>
      <c r="BJ109" s="4"/>
      <c r="BK109" s="4"/>
      <c r="BL109" s="4"/>
      <c r="BM109" s="4">
        <v>4.41</v>
      </c>
      <c r="BN109" s="4"/>
      <c r="BO109" s="4"/>
      <c r="BP109" s="4">
        <v>32.5</v>
      </c>
      <c r="BQ109" s="4"/>
      <c r="BR109" s="4"/>
      <c r="BS109" s="4"/>
      <c r="BT109" s="4"/>
      <c r="BU109" s="4"/>
      <c r="BV109" s="4"/>
    </row>
    <row r="110" spans="1:74" x14ac:dyDescent="0.25">
      <c r="A110" s="3" t="s">
        <v>309</v>
      </c>
      <c r="B110" s="3" t="s">
        <v>305</v>
      </c>
      <c r="C110" s="3" t="s">
        <v>310</v>
      </c>
      <c r="D110" s="3" t="s">
        <v>242</v>
      </c>
      <c r="E110" s="4"/>
      <c r="F110" s="4"/>
      <c r="G110" s="4"/>
      <c r="H110" s="4"/>
      <c r="I110" s="4">
        <v>6.5625</v>
      </c>
      <c r="J110" s="4"/>
      <c r="K110" s="4">
        <v>0.1313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>
        <v>1</v>
      </c>
      <c r="AH110" s="4"/>
      <c r="AI110" s="4"/>
      <c r="AJ110" s="4">
        <v>1</v>
      </c>
      <c r="AK110" s="4"/>
      <c r="AL110" s="4"/>
      <c r="AM110" s="4"/>
      <c r="AN110" s="4"/>
      <c r="AO110" s="4"/>
      <c r="AP110" s="4"/>
      <c r="AQ110" s="4">
        <v>2.52</v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>
        <v>52.5</v>
      </c>
      <c r="BD110" s="4"/>
      <c r="BE110" s="4"/>
      <c r="BF110" s="4"/>
      <c r="BG110" s="4"/>
      <c r="BH110" s="4"/>
      <c r="BI110" s="4"/>
      <c r="BJ110" s="4"/>
      <c r="BK110" s="4"/>
      <c r="BL110" s="4"/>
      <c r="BM110" s="4">
        <v>7.83</v>
      </c>
      <c r="BN110" s="4"/>
      <c r="BO110" s="4"/>
      <c r="BP110" s="4">
        <v>45</v>
      </c>
      <c r="BQ110" s="4"/>
      <c r="BR110" s="4"/>
      <c r="BS110" s="4"/>
      <c r="BT110" s="4"/>
      <c r="BU110" s="4"/>
      <c r="BV110" s="4"/>
    </row>
    <row r="111" spans="1:74" x14ac:dyDescent="0.25">
      <c r="A111" s="5" t="s">
        <v>311</v>
      </c>
      <c r="B111" s="5" t="s">
        <v>305</v>
      </c>
      <c r="C111" s="5" t="s">
        <v>312</v>
      </c>
      <c r="D111" s="5" t="s">
        <v>242</v>
      </c>
      <c r="E111" s="4"/>
      <c r="F111" s="4"/>
      <c r="G111" s="4"/>
      <c r="H111" s="4"/>
      <c r="I111" s="4">
        <v>9.8437999999999999</v>
      </c>
      <c r="J111" s="4"/>
      <c r="K111" s="4">
        <v>0.1313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>
        <v>1</v>
      </c>
      <c r="AH111" s="4"/>
      <c r="AI111" s="4"/>
      <c r="AJ111" s="4">
        <v>1</v>
      </c>
      <c r="AK111" s="4"/>
      <c r="AL111" s="4"/>
      <c r="AM111" s="4"/>
      <c r="AN111" s="4"/>
      <c r="AO111" s="4"/>
      <c r="AP111" s="4"/>
      <c r="AQ111" s="4">
        <v>3.78</v>
      </c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>
        <v>78.75</v>
      </c>
      <c r="BD111" s="4"/>
      <c r="BE111" s="4"/>
      <c r="BF111" s="4"/>
      <c r="BG111" s="4"/>
      <c r="BH111" s="4"/>
      <c r="BI111" s="4"/>
      <c r="BJ111" s="4"/>
      <c r="BK111" s="4"/>
      <c r="BL111" s="4"/>
      <c r="BM111" s="4">
        <v>11.24</v>
      </c>
      <c r="BN111" s="4"/>
      <c r="BO111" s="4"/>
      <c r="BP111" s="4">
        <v>57.5</v>
      </c>
      <c r="BQ111" s="4"/>
      <c r="BR111" s="4"/>
      <c r="BS111" s="4"/>
      <c r="BT111" s="4"/>
      <c r="BU111" s="4"/>
      <c r="BV111" s="4"/>
    </row>
    <row r="112" spans="1:74" x14ac:dyDescent="0.25">
      <c r="A112" s="3" t="s">
        <v>313</v>
      </c>
      <c r="B112" s="3" t="s">
        <v>305</v>
      </c>
      <c r="C112" s="3" t="s">
        <v>314</v>
      </c>
      <c r="D112" s="3" t="s">
        <v>242</v>
      </c>
      <c r="E112" s="4"/>
      <c r="F112" s="4"/>
      <c r="G112" s="4"/>
      <c r="H112" s="4"/>
      <c r="I112" s="4">
        <v>0.65620000000000001</v>
      </c>
      <c r="J112" s="4"/>
      <c r="K112" s="4">
        <v>6.5600000000000006E-2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>
        <v>1</v>
      </c>
      <c r="AH112" s="4"/>
      <c r="AI112" s="4"/>
      <c r="AJ112" s="4">
        <v>0.5</v>
      </c>
      <c r="AK112" s="4"/>
      <c r="AL112" s="4"/>
      <c r="AM112" s="4"/>
      <c r="AN112" s="4"/>
      <c r="AO112" s="4"/>
      <c r="AP112" s="4"/>
      <c r="AQ112" s="4">
        <v>0.252</v>
      </c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>
        <v>5.25</v>
      </c>
      <c r="BD112" s="4"/>
      <c r="BE112" s="4"/>
      <c r="BF112" s="4"/>
      <c r="BG112" s="4"/>
      <c r="BH112" s="4"/>
      <c r="BI112" s="4"/>
      <c r="BJ112" s="4"/>
      <c r="BK112" s="4"/>
      <c r="BL112" s="4"/>
      <c r="BM112" s="4">
        <v>1.84</v>
      </c>
      <c r="BN112" s="4"/>
      <c r="BO112" s="4"/>
      <c r="BP112" s="4">
        <v>25</v>
      </c>
      <c r="BQ112" s="4"/>
      <c r="BR112" s="4"/>
      <c r="BS112" s="4"/>
      <c r="BT112" s="4"/>
      <c r="BU112" s="4"/>
      <c r="BV112" s="4"/>
    </row>
    <row r="113" spans="1:74" x14ac:dyDescent="0.25">
      <c r="A113" s="5" t="s">
        <v>315</v>
      </c>
      <c r="B113" s="5" t="s">
        <v>305</v>
      </c>
      <c r="C113" s="5" t="s">
        <v>316</v>
      </c>
      <c r="D113" s="5" t="s">
        <v>242</v>
      </c>
      <c r="E113" s="4"/>
      <c r="F113" s="4"/>
      <c r="G113" s="4"/>
      <c r="H113" s="4"/>
      <c r="I113" s="4">
        <v>1.6406000000000001</v>
      </c>
      <c r="J113" s="4"/>
      <c r="K113" s="4">
        <v>6.5600000000000006E-2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>
        <v>1</v>
      </c>
      <c r="AH113" s="4"/>
      <c r="AI113" s="4"/>
      <c r="AJ113" s="4">
        <v>0.5</v>
      </c>
      <c r="AK113" s="4"/>
      <c r="AL113" s="4"/>
      <c r="AM113" s="4"/>
      <c r="AN113" s="4"/>
      <c r="AO113" s="4"/>
      <c r="AP113" s="4"/>
      <c r="AQ113" s="4">
        <v>0.63</v>
      </c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>
        <v>13.12</v>
      </c>
      <c r="BD113" s="4"/>
      <c r="BE113" s="4"/>
      <c r="BF113" s="4"/>
      <c r="BG113" s="4"/>
      <c r="BH113" s="4"/>
      <c r="BI113" s="4"/>
      <c r="BJ113" s="4"/>
      <c r="BK113" s="4"/>
      <c r="BL113" s="4"/>
      <c r="BM113" s="4">
        <v>3.1</v>
      </c>
      <c r="BN113" s="4"/>
      <c r="BO113" s="4"/>
      <c r="BP113" s="4">
        <v>32.5</v>
      </c>
      <c r="BQ113" s="4"/>
      <c r="BR113" s="4"/>
      <c r="BS113" s="4"/>
      <c r="BT113" s="4"/>
      <c r="BU113" s="4"/>
      <c r="BV113" s="4"/>
    </row>
    <row r="114" spans="1:74" x14ac:dyDescent="0.25">
      <c r="A114" s="3" t="s">
        <v>317</v>
      </c>
      <c r="B114" s="3" t="s">
        <v>305</v>
      </c>
      <c r="C114" s="3" t="s">
        <v>318</v>
      </c>
      <c r="D114" s="3" t="s">
        <v>242</v>
      </c>
      <c r="E114" s="4"/>
      <c r="F114" s="4"/>
      <c r="G114" s="4"/>
      <c r="H114" s="4"/>
      <c r="I114" s="4">
        <v>3.2812000000000001</v>
      </c>
      <c r="J114" s="4"/>
      <c r="K114" s="4">
        <v>6.5600000000000006E-2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>
        <v>1</v>
      </c>
      <c r="AH114" s="4"/>
      <c r="AI114" s="4"/>
      <c r="AJ114" s="4">
        <v>0.5</v>
      </c>
      <c r="AK114" s="4"/>
      <c r="AL114" s="4"/>
      <c r="AM114" s="4"/>
      <c r="AN114" s="4"/>
      <c r="AO114" s="4"/>
      <c r="AP114" s="4"/>
      <c r="AQ114" s="4">
        <v>1.26</v>
      </c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>
        <v>26.25</v>
      </c>
      <c r="BD114" s="4"/>
      <c r="BE114" s="4"/>
      <c r="BF114" s="4"/>
      <c r="BG114" s="4"/>
      <c r="BH114" s="4"/>
      <c r="BI114" s="4"/>
      <c r="BJ114" s="4"/>
      <c r="BK114" s="4"/>
      <c r="BL114" s="4"/>
      <c r="BM114" s="4">
        <v>5.2</v>
      </c>
      <c r="BN114" s="4"/>
      <c r="BO114" s="4"/>
      <c r="BP114" s="4">
        <v>45</v>
      </c>
      <c r="BQ114" s="4"/>
      <c r="BR114" s="4"/>
      <c r="BS114" s="4"/>
      <c r="BT114" s="4"/>
      <c r="BU114" s="4"/>
      <c r="BV114" s="4"/>
    </row>
    <row r="115" spans="1:74" x14ac:dyDescent="0.25">
      <c r="A115" s="5" t="s">
        <v>319</v>
      </c>
      <c r="B115" s="5" t="s">
        <v>320</v>
      </c>
      <c r="C115" s="5" t="s">
        <v>321</v>
      </c>
      <c r="D115" s="5" t="s">
        <v>242</v>
      </c>
      <c r="E115" s="4"/>
      <c r="F115" s="4"/>
      <c r="G115" s="4">
        <v>3.4125000000000001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>
        <v>1</v>
      </c>
      <c r="AH115" s="4"/>
      <c r="AI115" s="4"/>
      <c r="AJ115" s="4"/>
      <c r="AK115" s="4"/>
      <c r="AL115" s="4"/>
      <c r="AM115" s="4"/>
      <c r="AN115" s="4"/>
      <c r="AO115" s="4"/>
      <c r="AP115" s="4"/>
      <c r="AQ115" s="4">
        <v>1.6379999999999999</v>
      </c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>
        <v>13.65</v>
      </c>
      <c r="BD115" s="4"/>
      <c r="BE115" s="4"/>
      <c r="BF115" s="4"/>
      <c r="BG115" s="4"/>
      <c r="BH115" s="4"/>
      <c r="BI115" s="4"/>
      <c r="BJ115" s="4"/>
      <c r="BK115" s="4"/>
      <c r="BL115" s="4"/>
      <c r="BM115" s="4">
        <v>3.14</v>
      </c>
      <c r="BN115" s="4"/>
      <c r="BO115" s="4"/>
      <c r="BP115" s="4">
        <v>60</v>
      </c>
      <c r="BQ115" s="4"/>
      <c r="BR115" s="4"/>
      <c r="BS115" s="4"/>
      <c r="BT115" s="4"/>
      <c r="BU115" s="4"/>
      <c r="BV115" s="4"/>
    </row>
    <row r="116" spans="1:74" x14ac:dyDescent="0.25">
      <c r="A116" s="3" t="s">
        <v>322</v>
      </c>
      <c r="B116" s="3" t="s">
        <v>320</v>
      </c>
      <c r="C116" s="3" t="s">
        <v>323</v>
      </c>
      <c r="D116" s="3" t="s">
        <v>242</v>
      </c>
      <c r="E116" s="4"/>
      <c r="F116" s="4"/>
      <c r="G116" s="4">
        <v>1.7062999999999999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>
        <v>1</v>
      </c>
      <c r="AH116" s="4"/>
      <c r="AI116" s="4"/>
      <c r="AJ116" s="4"/>
      <c r="AK116" s="4"/>
      <c r="AL116" s="4"/>
      <c r="AM116" s="4"/>
      <c r="AN116" s="4"/>
      <c r="AO116" s="4"/>
      <c r="AP116" s="4"/>
      <c r="AQ116" s="4">
        <v>0.81899999999999995</v>
      </c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>
        <v>6.83</v>
      </c>
      <c r="BD116" s="4"/>
      <c r="BE116" s="4"/>
      <c r="BF116" s="4"/>
      <c r="BG116" s="4"/>
      <c r="BH116" s="4"/>
      <c r="BI116" s="4"/>
      <c r="BJ116" s="4"/>
      <c r="BK116" s="4"/>
      <c r="BL116" s="4"/>
      <c r="BM116" s="4">
        <v>1.77</v>
      </c>
      <c r="BN116" s="4"/>
      <c r="BO116" s="4"/>
      <c r="BP116" s="4">
        <v>50</v>
      </c>
      <c r="BQ116" s="4"/>
      <c r="BR116" s="4"/>
      <c r="BS116" s="4"/>
      <c r="BT116" s="4"/>
      <c r="BU116" s="4"/>
      <c r="BV116" s="4"/>
    </row>
    <row r="117" spans="1:74" x14ac:dyDescent="0.25">
      <c r="A117" s="5" t="s">
        <v>324</v>
      </c>
      <c r="B117" s="5" t="s">
        <v>320</v>
      </c>
      <c r="C117" s="5" t="s">
        <v>325</v>
      </c>
      <c r="D117" s="5" t="s">
        <v>242</v>
      </c>
      <c r="E117" s="4"/>
      <c r="F117" s="4"/>
      <c r="G117" s="4">
        <v>0.85309999999999997</v>
      </c>
      <c r="H117" s="4"/>
      <c r="I117" s="4"/>
      <c r="J117" s="4"/>
      <c r="K117" s="4">
        <v>0.1313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>
        <v>1</v>
      </c>
      <c r="AH117" s="4"/>
      <c r="AI117" s="4"/>
      <c r="AJ117" s="4"/>
      <c r="AK117" s="4"/>
      <c r="AL117" s="4"/>
      <c r="AM117" s="4"/>
      <c r="AN117" s="4"/>
      <c r="AO117" s="4"/>
      <c r="AP117" s="4"/>
      <c r="AQ117" s="4">
        <v>0.81899999999999995</v>
      </c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>
        <v>6.83</v>
      </c>
      <c r="BD117" s="4"/>
      <c r="BE117" s="4"/>
      <c r="BF117" s="4"/>
      <c r="BG117" s="4"/>
      <c r="BH117" s="4"/>
      <c r="BI117" s="4"/>
      <c r="BJ117" s="4"/>
      <c r="BK117" s="4"/>
      <c r="BL117" s="4"/>
      <c r="BM117" s="4">
        <v>2.09</v>
      </c>
      <c r="BN117" s="4">
        <v>1</v>
      </c>
      <c r="BO117" s="4"/>
      <c r="BP117" s="4">
        <v>50</v>
      </c>
      <c r="BQ117" s="4"/>
      <c r="BR117" s="4"/>
      <c r="BS117" s="4"/>
      <c r="BT117" s="4"/>
      <c r="BU117" s="4"/>
      <c r="BV117" s="4"/>
    </row>
    <row r="118" spans="1:74" x14ac:dyDescent="0.25">
      <c r="A118" s="3" t="s">
        <v>326</v>
      </c>
      <c r="B118" s="3" t="s">
        <v>327</v>
      </c>
      <c r="C118" s="3" t="s">
        <v>328</v>
      </c>
      <c r="D118" s="3" t="s">
        <v>242</v>
      </c>
      <c r="E118" s="4"/>
      <c r="F118" s="4"/>
      <c r="G118" s="4"/>
      <c r="H118" s="4"/>
      <c r="I118" s="4">
        <v>1.6406000000000001</v>
      </c>
      <c r="J118" s="4"/>
      <c r="K118" s="4">
        <v>3.2800000000000003E-2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v>2E-3</v>
      </c>
      <c r="AI118" s="4"/>
      <c r="AJ118" s="4"/>
      <c r="AK118" s="4"/>
      <c r="AL118" s="4"/>
      <c r="AM118" s="4"/>
      <c r="AN118" s="4"/>
      <c r="AO118" s="4"/>
      <c r="AP118" s="4"/>
      <c r="AQ118" s="4">
        <v>0.23619999999999999</v>
      </c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>
        <v>6.56</v>
      </c>
      <c r="BD118" s="4"/>
      <c r="BE118" s="4"/>
      <c r="BF118" s="4"/>
      <c r="BG118" s="4"/>
      <c r="BH118" s="4"/>
      <c r="BI118" s="4"/>
      <c r="BJ118" s="4"/>
      <c r="BK118" s="4"/>
      <c r="BL118" s="4"/>
      <c r="BM118" s="4">
        <v>4.8899999999999997</v>
      </c>
      <c r="BN118" s="4"/>
      <c r="BO118" s="4">
        <v>8</v>
      </c>
      <c r="BP118" s="4"/>
      <c r="BQ118" s="4"/>
      <c r="BR118" s="4"/>
      <c r="BS118" s="4"/>
      <c r="BT118" s="4"/>
      <c r="BU118" s="4"/>
      <c r="BV118" s="4"/>
    </row>
    <row r="119" spans="1:74" x14ac:dyDescent="0.25">
      <c r="A119" s="5" t="s">
        <v>329</v>
      </c>
      <c r="B119" s="5" t="s">
        <v>327</v>
      </c>
      <c r="C119" s="5" t="s">
        <v>330</v>
      </c>
      <c r="D119" s="5" t="s">
        <v>242</v>
      </c>
      <c r="E119" s="4"/>
      <c r="F119" s="4"/>
      <c r="G119" s="4"/>
      <c r="H119" s="4"/>
      <c r="I119" s="4">
        <v>3.2812000000000001</v>
      </c>
      <c r="J119" s="4"/>
      <c r="K119" s="4">
        <v>6.5600000000000006E-2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v>2E-3</v>
      </c>
      <c r="AI119" s="4"/>
      <c r="AJ119" s="4"/>
      <c r="AK119" s="4"/>
      <c r="AL119" s="4"/>
      <c r="AM119" s="4"/>
      <c r="AN119" s="4"/>
      <c r="AO119" s="4"/>
      <c r="AP119" s="4"/>
      <c r="AQ119" s="4">
        <v>0.47249999999999998</v>
      </c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>
        <v>13.12</v>
      </c>
      <c r="BD119" s="4"/>
      <c r="BE119" s="4"/>
      <c r="BF119" s="4"/>
      <c r="BG119" s="4"/>
      <c r="BH119" s="4"/>
      <c r="BI119" s="4"/>
      <c r="BJ119" s="4"/>
      <c r="BK119" s="4"/>
      <c r="BL119" s="4"/>
      <c r="BM119" s="4">
        <v>6.2</v>
      </c>
      <c r="BN119" s="4"/>
      <c r="BO119" s="4">
        <v>8</v>
      </c>
      <c r="BP119" s="4"/>
      <c r="BQ119" s="4"/>
      <c r="BR119" s="4"/>
      <c r="BS119" s="4"/>
      <c r="BT119" s="4"/>
      <c r="BU119" s="4"/>
      <c r="BV119" s="4"/>
    </row>
    <row r="120" spans="1:74" x14ac:dyDescent="0.25">
      <c r="A120" s="3" t="s">
        <v>331</v>
      </c>
      <c r="B120" s="3" t="s">
        <v>327</v>
      </c>
      <c r="C120" s="3" t="s">
        <v>332</v>
      </c>
      <c r="D120" s="3" t="s">
        <v>242</v>
      </c>
      <c r="E120" s="4"/>
      <c r="F120" s="4"/>
      <c r="G120" s="4"/>
      <c r="H120" s="4"/>
      <c r="I120" s="4">
        <v>6.5625</v>
      </c>
      <c r="J120" s="4"/>
      <c r="K120" s="4">
        <v>0.1313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v>3.0000000000000001E-3</v>
      </c>
      <c r="AI120" s="4"/>
      <c r="AJ120" s="4"/>
      <c r="AK120" s="4"/>
      <c r="AL120" s="4"/>
      <c r="AM120" s="4"/>
      <c r="AN120" s="4"/>
      <c r="AO120" s="4"/>
      <c r="AP120" s="4"/>
      <c r="AQ120" s="4">
        <v>0.94499999999999995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>
        <v>26.25</v>
      </c>
      <c r="BD120" s="4"/>
      <c r="BE120" s="4"/>
      <c r="BF120" s="4"/>
      <c r="BG120" s="4"/>
      <c r="BH120" s="4"/>
      <c r="BI120" s="4"/>
      <c r="BJ120" s="4"/>
      <c r="BK120" s="4"/>
      <c r="BL120" s="4"/>
      <c r="BM120" s="4">
        <v>8.82</v>
      </c>
      <c r="BN120" s="4"/>
      <c r="BO120" s="4">
        <v>8</v>
      </c>
      <c r="BP120" s="4"/>
      <c r="BQ120" s="4"/>
      <c r="BR120" s="4"/>
      <c r="BS120" s="4"/>
      <c r="BT120" s="4"/>
      <c r="BU120" s="4"/>
      <c r="BV120" s="4"/>
    </row>
    <row r="121" spans="1:74" x14ac:dyDescent="0.25">
      <c r="A121" s="5" t="s">
        <v>333</v>
      </c>
      <c r="B121" s="5" t="s">
        <v>327</v>
      </c>
      <c r="C121" s="5" t="s">
        <v>334</v>
      </c>
      <c r="D121" s="5" t="s">
        <v>242</v>
      </c>
      <c r="E121" s="4"/>
      <c r="F121" s="4"/>
      <c r="G121" s="4"/>
      <c r="H121" s="4"/>
      <c r="I121" s="4">
        <v>6.5625</v>
      </c>
      <c r="J121" s="4"/>
      <c r="K121" s="4">
        <v>6.5600000000000006E-2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v>2E-3</v>
      </c>
      <c r="AI121" s="4"/>
      <c r="AJ121" s="4"/>
      <c r="AK121" s="4"/>
      <c r="AL121" s="4"/>
      <c r="AM121" s="4"/>
      <c r="AN121" s="4"/>
      <c r="AO121" s="4"/>
      <c r="AP121" s="4"/>
      <c r="AQ121" s="4">
        <v>0.94499999999999995</v>
      </c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>
        <v>26.25</v>
      </c>
      <c r="BD121" s="4"/>
      <c r="BE121" s="4"/>
      <c r="BF121" s="4"/>
      <c r="BG121" s="4"/>
      <c r="BH121" s="4"/>
      <c r="BI121" s="4"/>
      <c r="BJ121" s="4"/>
      <c r="BK121" s="4"/>
      <c r="BL121" s="4"/>
      <c r="BM121" s="4">
        <v>10.4</v>
      </c>
      <c r="BN121" s="4"/>
      <c r="BO121" s="4">
        <v>8</v>
      </c>
      <c r="BP121" s="4"/>
      <c r="BQ121" s="4"/>
      <c r="BR121" s="4"/>
      <c r="BS121" s="4"/>
      <c r="BT121" s="4"/>
      <c r="BU121" s="4"/>
      <c r="BV121" s="4"/>
    </row>
    <row r="122" spans="1:74" x14ac:dyDescent="0.25">
      <c r="A122" s="3" t="s">
        <v>335</v>
      </c>
      <c r="B122" s="3" t="s">
        <v>336</v>
      </c>
      <c r="C122" s="3" t="s">
        <v>337</v>
      </c>
      <c r="D122" s="3" t="s">
        <v>242</v>
      </c>
      <c r="E122" s="4"/>
      <c r="F122" s="4"/>
      <c r="G122" s="4"/>
      <c r="H122" s="4"/>
      <c r="I122" s="4">
        <v>3.2812000000000001</v>
      </c>
      <c r="J122" s="4"/>
      <c r="K122" s="4">
        <v>0.1313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>
        <v>1</v>
      </c>
      <c r="AH122" s="4"/>
      <c r="AI122" s="4"/>
      <c r="AJ122" s="4"/>
      <c r="AK122" s="4">
        <v>0.1181</v>
      </c>
      <c r="AL122" s="4"/>
      <c r="AM122" s="4"/>
      <c r="AN122" s="4"/>
      <c r="AO122" s="4"/>
      <c r="AP122" s="4"/>
      <c r="AQ122" s="4">
        <v>1.2915000000000001</v>
      </c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>
        <v>26.51</v>
      </c>
      <c r="BD122" s="4"/>
      <c r="BE122" s="4"/>
      <c r="BF122" s="4"/>
      <c r="BG122" s="4"/>
      <c r="BH122" s="4"/>
      <c r="BI122" s="4"/>
      <c r="BJ122" s="4"/>
      <c r="BK122" s="4"/>
      <c r="BL122" s="4"/>
      <c r="BM122" s="4">
        <v>5.2</v>
      </c>
      <c r="BN122" s="4"/>
      <c r="BO122" s="4"/>
      <c r="BP122" s="4">
        <v>45</v>
      </c>
      <c r="BQ122" s="4">
        <v>0.71</v>
      </c>
      <c r="BR122" s="4"/>
      <c r="BS122" s="4"/>
      <c r="BT122" s="4"/>
      <c r="BU122" s="4"/>
      <c r="BV122" s="4"/>
    </row>
    <row r="123" spans="1:74" x14ac:dyDescent="0.25">
      <c r="A123" s="5" t="s">
        <v>338</v>
      </c>
      <c r="B123" s="5" t="s">
        <v>339</v>
      </c>
      <c r="C123" s="5" t="s">
        <v>340</v>
      </c>
      <c r="D123" s="5" t="s">
        <v>242</v>
      </c>
      <c r="E123" s="4"/>
      <c r="F123" s="4"/>
      <c r="G123" s="4"/>
      <c r="H123" s="4">
        <v>0.1313</v>
      </c>
      <c r="I123" s="4">
        <v>6.5625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v>7.1999999999999998E-3</v>
      </c>
      <c r="AI123" s="4"/>
      <c r="AJ123" s="4"/>
      <c r="AK123" s="4">
        <v>0.23630000000000001</v>
      </c>
      <c r="AL123" s="4"/>
      <c r="AM123" s="4"/>
      <c r="AN123" s="4"/>
      <c r="AO123" s="4"/>
      <c r="AP123" s="4"/>
      <c r="AQ123" s="4">
        <v>2.5830000000000002</v>
      </c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>
        <v>53.02</v>
      </c>
      <c r="BD123" s="4"/>
      <c r="BE123" s="4"/>
      <c r="BF123" s="4"/>
      <c r="BG123" s="4"/>
      <c r="BH123" s="4"/>
      <c r="BI123" s="4"/>
      <c r="BJ123" s="4"/>
      <c r="BK123" s="4"/>
      <c r="BL123" s="4"/>
      <c r="BM123" s="4">
        <v>3</v>
      </c>
      <c r="BN123" s="4"/>
      <c r="BO123" s="4">
        <v>20</v>
      </c>
      <c r="BP123" s="4"/>
      <c r="BQ123" s="4">
        <v>1.42</v>
      </c>
      <c r="BR123" s="4"/>
      <c r="BS123" s="4"/>
      <c r="BT123" s="4"/>
      <c r="BU123" s="4"/>
      <c r="BV123" s="4"/>
    </row>
    <row r="124" spans="1:74" x14ac:dyDescent="0.25">
      <c r="A124" s="3" t="s">
        <v>341</v>
      </c>
      <c r="B124" s="3" t="s">
        <v>339</v>
      </c>
      <c r="C124" s="3" t="s">
        <v>342</v>
      </c>
      <c r="D124" s="3" t="s">
        <v>242</v>
      </c>
      <c r="E124" s="4"/>
      <c r="F124" s="4"/>
      <c r="G124" s="4"/>
      <c r="H124" s="4"/>
      <c r="I124" s="4">
        <v>6.5625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1</v>
      </c>
      <c r="Z124" s="4"/>
      <c r="AA124" s="4"/>
      <c r="AB124" s="4"/>
      <c r="AC124" s="4"/>
      <c r="AD124" s="4"/>
      <c r="AE124" s="4"/>
      <c r="AF124" s="4"/>
      <c r="AG124" s="4"/>
      <c r="AH124" s="4">
        <v>7.1999999999999998E-3</v>
      </c>
      <c r="AI124" s="4"/>
      <c r="AJ124" s="4"/>
      <c r="AK124" s="4"/>
      <c r="AL124" s="4"/>
      <c r="AM124" s="4"/>
      <c r="AN124" s="4"/>
      <c r="AO124" s="4"/>
      <c r="AP124" s="4"/>
      <c r="AQ124" s="4">
        <v>2.52</v>
      </c>
      <c r="AR124" s="4"/>
      <c r="AS124" s="4"/>
      <c r="AT124" s="4"/>
      <c r="AU124" s="4"/>
      <c r="AV124" s="4">
        <v>7.1999999999999998E-3</v>
      </c>
      <c r="AW124" s="4">
        <v>6.4799999999999996E-2</v>
      </c>
      <c r="AX124" s="4">
        <v>0.32400000000000001</v>
      </c>
      <c r="AY124" s="4"/>
      <c r="AZ124" s="4"/>
      <c r="BA124" s="4"/>
      <c r="BB124" s="4"/>
      <c r="BC124" s="4">
        <v>52.5</v>
      </c>
      <c r="BD124" s="4"/>
      <c r="BE124" s="4">
        <v>1.62</v>
      </c>
      <c r="BF124" s="4">
        <v>1.08</v>
      </c>
      <c r="BG124" s="4">
        <v>25</v>
      </c>
      <c r="BH124" s="4"/>
      <c r="BI124" s="4"/>
      <c r="BJ124" s="4"/>
      <c r="BK124" s="4"/>
      <c r="BL124" s="4"/>
      <c r="BM124" s="4">
        <v>3</v>
      </c>
      <c r="BN124" s="4"/>
      <c r="BO124" s="4">
        <v>20</v>
      </c>
      <c r="BP124" s="4"/>
      <c r="BQ124" s="4"/>
      <c r="BR124" s="4"/>
      <c r="BS124" s="4"/>
      <c r="BT124" s="4"/>
      <c r="BU124" s="4"/>
      <c r="BV124" s="4"/>
    </row>
    <row r="125" spans="1:74" x14ac:dyDescent="0.25">
      <c r="A125" s="5" t="s">
        <v>343</v>
      </c>
      <c r="B125" s="5" t="s">
        <v>109</v>
      </c>
      <c r="C125" s="5" t="s">
        <v>344</v>
      </c>
      <c r="D125" s="5" t="s">
        <v>345</v>
      </c>
      <c r="E125" s="4">
        <v>22.5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>
        <v>8</v>
      </c>
      <c r="AQ125" s="4"/>
      <c r="AR125" s="4"/>
      <c r="AS125" s="4">
        <v>270</v>
      </c>
      <c r="AT125" s="4"/>
      <c r="AU125" s="4"/>
      <c r="AV125" s="4"/>
      <c r="AW125" s="4"/>
      <c r="AX125" s="4"/>
      <c r="AY125" s="4"/>
      <c r="AZ125" s="4"/>
      <c r="BA125" s="4"/>
      <c r="BB125" s="4">
        <v>13.5</v>
      </c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>
        <v>202.5</v>
      </c>
      <c r="BN125" s="4"/>
      <c r="BO125" s="4"/>
      <c r="BP125" s="4"/>
      <c r="BQ125" s="4"/>
      <c r="BR125" s="4"/>
      <c r="BS125" s="4"/>
      <c r="BT125" s="4"/>
      <c r="BU125" s="4">
        <v>1840.5</v>
      </c>
      <c r="BV125" s="4"/>
    </row>
    <row r="126" spans="1:74" x14ac:dyDescent="0.25">
      <c r="A126" s="3" t="s">
        <v>346</v>
      </c>
      <c r="B126" s="3" t="s">
        <v>109</v>
      </c>
      <c r="C126" s="3" t="s">
        <v>347</v>
      </c>
      <c r="D126" s="3" t="s">
        <v>345</v>
      </c>
      <c r="E126" s="4"/>
      <c r="F126" s="4">
        <v>22.5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>
        <v>8</v>
      </c>
      <c r="AQ126" s="4"/>
      <c r="AR126" s="4"/>
      <c r="AS126" s="4">
        <v>270</v>
      </c>
      <c r="AT126" s="4"/>
      <c r="AU126" s="4"/>
      <c r="AV126" s="4"/>
      <c r="AW126" s="4"/>
      <c r="AX126" s="4"/>
      <c r="AY126" s="4"/>
      <c r="AZ126" s="4"/>
      <c r="BA126" s="4"/>
      <c r="BB126" s="4">
        <v>13.5</v>
      </c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>
        <v>202.5</v>
      </c>
      <c r="BN126" s="4"/>
      <c r="BO126" s="4"/>
      <c r="BP126" s="4"/>
      <c r="BQ126" s="4"/>
      <c r="BR126" s="4"/>
      <c r="BS126" s="4"/>
      <c r="BT126" s="4"/>
      <c r="BU126" s="4">
        <v>1840.5</v>
      </c>
      <c r="BV126" s="4"/>
    </row>
    <row r="127" spans="1:74" x14ac:dyDescent="0.25">
      <c r="A127" s="5" t="s">
        <v>348</v>
      </c>
      <c r="B127" s="5" t="s">
        <v>109</v>
      </c>
      <c r="C127" s="5" t="s">
        <v>349</v>
      </c>
      <c r="D127" s="5" t="s">
        <v>345</v>
      </c>
      <c r="E127" s="4"/>
      <c r="F127" s="4"/>
      <c r="G127" s="4">
        <v>22.5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>
        <v>8</v>
      </c>
      <c r="AQ127" s="4"/>
      <c r="AR127" s="4"/>
      <c r="AS127" s="4">
        <v>270</v>
      </c>
      <c r="AT127" s="4"/>
      <c r="AU127" s="4"/>
      <c r="AV127" s="4"/>
      <c r="AW127" s="4"/>
      <c r="AX127" s="4"/>
      <c r="AY127" s="4"/>
      <c r="AZ127" s="4"/>
      <c r="BA127" s="4"/>
      <c r="BB127" s="4">
        <v>13.5</v>
      </c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>
        <v>202.5</v>
      </c>
      <c r="BN127" s="4"/>
      <c r="BO127" s="4"/>
      <c r="BP127" s="4"/>
      <c r="BQ127" s="4"/>
      <c r="BR127" s="4"/>
      <c r="BS127" s="4"/>
      <c r="BT127" s="4"/>
      <c r="BU127" s="4">
        <v>1840.5</v>
      </c>
      <c r="BV127" s="4"/>
    </row>
    <row r="128" spans="1:74" x14ac:dyDescent="0.25">
      <c r="A128" s="3" t="s">
        <v>350</v>
      </c>
      <c r="B128" s="3" t="s">
        <v>109</v>
      </c>
      <c r="C128" s="3" t="s">
        <v>351</v>
      </c>
      <c r="D128" s="3" t="s">
        <v>345</v>
      </c>
      <c r="E128" s="4">
        <v>45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>
        <v>8</v>
      </c>
      <c r="AQ128" s="4"/>
      <c r="AR128" s="4"/>
      <c r="AS128" s="4">
        <v>540</v>
      </c>
      <c r="AT128" s="4"/>
      <c r="AU128" s="4"/>
      <c r="AV128" s="4"/>
      <c r="AW128" s="4"/>
      <c r="AX128" s="4"/>
      <c r="AY128" s="4"/>
      <c r="AZ128" s="4"/>
      <c r="BA128" s="4"/>
      <c r="BB128" s="4">
        <v>27</v>
      </c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>
        <v>225</v>
      </c>
      <c r="BN128" s="4"/>
      <c r="BO128" s="4"/>
      <c r="BP128" s="4"/>
      <c r="BQ128" s="4"/>
      <c r="BR128" s="4"/>
      <c r="BS128" s="4"/>
      <c r="BT128" s="4"/>
      <c r="BU128" s="4">
        <v>1881</v>
      </c>
      <c r="BV128" s="4"/>
    </row>
    <row r="129" spans="1:74" x14ac:dyDescent="0.25">
      <c r="A129" s="5" t="s">
        <v>352</v>
      </c>
      <c r="B129" s="5" t="s">
        <v>109</v>
      </c>
      <c r="C129" s="5" t="s">
        <v>353</v>
      </c>
      <c r="D129" s="5" t="s">
        <v>345</v>
      </c>
      <c r="E129" s="4"/>
      <c r="F129" s="4">
        <v>45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>
        <v>8</v>
      </c>
      <c r="AQ129" s="4"/>
      <c r="AR129" s="4"/>
      <c r="AS129" s="4">
        <v>540</v>
      </c>
      <c r="AT129" s="4"/>
      <c r="AU129" s="4"/>
      <c r="AV129" s="4"/>
      <c r="AW129" s="4"/>
      <c r="AX129" s="4"/>
      <c r="AY129" s="4"/>
      <c r="AZ129" s="4"/>
      <c r="BA129" s="4"/>
      <c r="BB129" s="4">
        <v>27</v>
      </c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>
        <v>225</v>
      </c>
      <c r="BN129" s="4"/>
      <c r="BO129" s="4"/>
      <c r="BP129" s="4"/>
      <c r="BQ129" s="4"/>
      <c r="BR129" s="4"/>
      <c r="BS129" s="4"/>
      <c r="BT129" s="4"/>
      <c r="BU129" s="4">
        <v>1881</v>
      </c>
      <c r="BV129" s="4"/>
    </row>
    <row r="130" spans="1:74" x14ac:dyDescent="0.25">
      <c r="A130" s="3" t="s">
        <v>354</v>
      </c>
      <c r="B130" s="3" t="s">
        <v>109</v>
      </c>
      <c r="C130" s="3" t="s">
        <v>355</v>
      </c>
      <c r="D130" s="3" t="s">
        <v>345</v>
      </c>
      <c r="E130" s="4"/>
      <c r="F130" s="4"/>
      <c r="G130" s="4">
        <v>45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>
        <v>8</v>
      </c>
      <c r="AQ130" s="4"/>
      <c r="AR130" s="4"/>
      <c r="AS130" s="4">
        <v>540</v>
      </c>
      <c r="AT130" s="4"/>
      <c r="AU130" s="4"/>
      <c r="AV130" s="4"/>
      <c r="AW130" s="4"/>
      <c r="AX130" s="4"/>
      <c r="AY130" s="4"/>
      <c r="AZ130" s="4"/>
      <c r="BA130" s="4"/>
      <c r="BB130" s="4">
        <v>27</v>
      </c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>
        <v>225</v>
      </c>
      <c r="BN130" s="4"/>
      <c r="BO130" s="4"/>
      <c r="BP130" s="4"/>
      <c r="BQ130" s="4"/>
      <c r="BR130" s="4"/>
      <c r="BS130" s="4"/>
      <c r="BT130" s="4"/>
      <c r="BU130" s="4">
        <v>1881</v>
      </c>
      <c r="BV130" s="4"/>
    </row>
    <row r="131" spans="1:74" x14ac:dyDescent="0.25">
      <c r="A131" s="5" t="s">
        <v>356</v>
      </c>
      <c r="B131" s="5" t="s">
        <v>109</v>
      </c>
      <c r="C131" s="5" t="s">
        <v>357</v>
      </c>
      <c r="D131" s="5" t="s">
        <v>345</v>
      </c>
      <c r="E131" s="4">
        <v>90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>
        <v>8</v>
      </c>
      <c r="AQ131" s="4"/>
      <c r="AR131" s="4"/>
      <c r="AS131" s="4">
        <v>1080</v>
      </c>
      <c r="AT131" s="4"/>
      <c r="AU131" s="4"/>
      <c r="AV131" s="4"/>
      <c r="AW131" s="4"/>
      <c r="AX131" s="4"/>
      <c r="AY131" s="4"/>
      <c r="AZ131" s="4"/>
      <c r="BA131" s="4"/>
      <c r="BB131" s="4">
        <v>54</v>
      </c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>
        <v>270</v>
      </c>
      <c r="BN131" s="4"/>
      <c r="BO131" s="4"/>
      <c r="BP131" s="4"/>
      <c r="BQ131" s="4"/>
      <c r="BR131" s="4"/>
      <c r="BS131" s="4"/>
      <c r="BT131" s="4"/>
      <c r="BU131" s="4">
        <v>1962</v>
      </c>
      <c r="BV131" s="4"/>
    </row>
    <row r="132" spans="1:74" x14ac:dyDescent="0.25">
      <c r="A132" s="3" t="s">
        <v>358</v>
      </c>
      <c r="B132" s="3" t="s">
        <v>109</v>
      </c>
      <c r="C132" s="3" t="s">
        <v>359</v>
      </c>
      <c r="D132" s="3" t="s">
        <v>345</v>
      </c>
      <c r="E132" s="4"/>
      <c r="F132" s="4">
        <v>90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>
        <v>8</v>
      </c>
      <c r="AQ132" s="4"/>
      <c r="AR132" s="4"/>
      <c r="AS132" s="4">
        <v>1080</v>
      </c>
      <c r="AT132" s="4"/>
      <c r="AU132" s="4"/>
      <c r="AV132" s="4"/>
      <c r="AW132" s="4"/>
      <c r="AX132" s="4"/>
      <c r="AY132" s="4"/>
      <c r="AZ132" s="4"/>
      <c r="BA132" s="4"/>
      <c r="BB132" s="4">
        <v>54</v>
      </c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>
        <v>270</v>
      </c>
      <c r="BN132" s="4"/>
      <c r="BO132" s="4"/>
      <c r="BP132" s="4"/>
      <c r="BQ132" s="4"/>
      <c r="BR132" s="4"/>
      <c r="BS132" s="4"/>
      <c r="BT132" s="4"/>
      <c r="BU132" s="4">
        <v>1962</v>
      </c>
      <c r="BV132" s="4"/>
    </row>
    <row r="133" spans="1:74" x14ac:dyDescent="0.25">
      <c r="A133" s="5" t="s">
        <v>360</v>
      </c>
      <c r="B133" s="5" t="s">
        <v>109</v>
      </c>
      <c r="C133" s="5" t="s">
        <v>361</v>
      </c>
      <c r="D133" s="5" t="s">
        <v>345</v>
      </c>
      <c r="E133" s="4"/>
      <c r="F133" s="4"/>
      <c r="G133" s="4">
        <v>90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>
        <v>8</v>
      </c>
      <c r="AQ133" s="4"/>
      <c r="AR133" s="4"/>
      <c r="AS133" s="4">
        <v>1080</v>
      </c>
      <c r="AT133" s="4"/>
      <c r="AU133" s="4"/>
      <c r="AV133" s="4"/>
      <c r="AW133" s="4"/>
      <c r="AX133" s="4"/>
      <c r="AY133" s="4"/>
      <c r="AZ133" s="4"/>
      <c r="BA133" s="4"/>
      <c r="BB133" s="4">
        <v>54</v>
      </c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>
        <v>270</v>
      </c>
      <c r="BN133" s="4"/>
      <c r="BO133" s="4"/>
      <c r="BP133" s="4"/>
      <c r="BQ133" s="4"/>
      <c r="BR133" s="4"/>
      <c r="BS133" s="4"/>
      <c r="BT133" s="4"/>
      <c r="BU133" s="4">
        <v>1962</v>
      </c>
      <c r="BV133" s="4"/>
    </row>
    <row r="134" spans="1:74" x14ac:dyDescent="0.25">
      <c r="A134" s="3" t="s">
        <v>362</v>
      </c>
      <c r="B134" s="3" t="s">
        <v>109</v>
      </c>
      <c r="C134" s="3" t="s">
        <v>363</v>
      </c>
      <c r="D134" s="3" t="s">
        <v>345</v>
      </c>
      <c r="E134" s="4">
        <v>38.571399999999997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>
        <v>8</v>
      </c>
      <c r="AQ134" s="4"/>
      <c r="AR134" s="4"/>
      <c r="AS134" s="4">
        <v>462.8571</v>
      </c>
      <c r="AT134" s="4"/>
      <c r="AU134" s="4"/>
      <c r="AV134" s="4"/>
      <c r="AW134" s="4"/>
      <c r="AX134" s="4"/>
      <c r="AY134" s="4"/>
      <c r="AZ134" s="4"/>
      <c r="BA134" s="4"/>
      <c r="BB134" s="4">
        <v>23.142900000000001</v>
      </c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>
        <v>218.57</v>
      </c>
      <c r="BN134" s="4"/>
      <c r="BO134" s="4"/>
      <c r="BP134" s="4"/>
      <c r="BQ134" s="4"/>
      <c r="BR134" s="4"/>
      <c r="BS134" s="4"/>
      <c r="BT134" s="4"/>
      <c r="BU134" s="4">
        <v>1869.43</v>
      </c>
      <c r="BV134" s="4"/>
    </row>
    <row r="135" spans="1:74" x14ac:dyDescent="0.25">
      <c r="A135" s="5" t="s">
        <v>364</v>
      </c>
      <c r="B135" s="5" t="s">
        <v>109</v>
      </c>
      <c r="C135" s="5" t="s">
        <v>365</v>
      </c>
      <c r="D135" s="5" t="s">
        <v>345</v>
      </c>
      <c r="E135" s="4"/>
      <c r="F135" s="4">
        <v>38.571399999999997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>
        <v>8</v>
      </c>
      <c r="AQ135" s="4"/>
      <c r="AR135" s="4"/>
      <c r="AS135" s="4">
        <v>462.8571</v>
      </c>
      <c r="AT135" s="4"/>
      <c r="AU135" s="4"/>
      <c r="AV135" s="4"/>
      <c r="AW135" s="4"/>
      <c r="AX135" s="4"/>
      <c r="AY135" s="4"/>
      <c r="AZ135" s="4"/>
      <c r="BA135" s="4"/>
      <c r="BB135" s="4">
        <v>23.142900000000001</v>
      </c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>
        <v>218.57</v>
      </c>
      <c r="BN135" s="4"/>
      <c r="BO135" s="4"/>
      <c r="BP135" s="4"/>
      <c r="BQ135" s="4"/>
      <c r="BR135" s="4"/>
      <c r="BS135" s="4"/>
      <c r="BT135" s="4"/>
      <c r="BU135" s="4">
        <v>1869.43</v>
      </c>
      <c r="BV135" s="4"/>
    </row>
    <row r="136" spans="1:74" x14ac:dyDescent="0.25">
      <c r="A136" s="3" t="s">
        <v>366</v>
      </c>
      <c r="B136" s="3" t="s">
        <v>109</v>
      </c>
      <c r="C136" s="3" t="s">
        <v>367</v>
      </c>
      <c r="D136" s="3" t="s">
        <v>345</v>
      </c>
      <c r="E136" s="4"/>
      <c r="F136" s="4"/>
      <c r="G136" s="4">
        <v>38.571399999999997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>
        <v>8</v>
      </c>
      <c r="AQ136" s="4"/>
      <c r="AR136" s="4"/>
      <c r="AS136" s="4">
        <v>462.8571</v>
      </c>
      <c r="AT136" s="4"/>
      <c r="AU136" s="4"/>
      <c r="AV136" s="4"/>
      <c r="AW136" s="4"/>
      <c r="AX136" s="4"/>
      <c r="AY136" s="4"/>
      <c r="AZ136" s="4"/>
      <c r="BA136" s="4"/>
      <c r="BB136" s="4">
        <v>23.142900000000001</v>
      </c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>
        <v>218.57</v>
      </c>
      <c r="BN136" s="4"/>
      <c r="BO136" s="4"/>
      <c r="BP136" s="4"/>
      <c r="BQ136" s="4"/>
      <c r="BR136" s="4"/>
      <c r="BS136" s="4"/>
      <c r="BT136" s="4"/>
      <c r="BU136" s="4">
        <v>1869.43</v>
      </c>
      <c r="BV136" s="4"/>
    </row>
    <row r="137" spans="1:74" x14ac:dyDescent="0.25">
      <c r="A137" s="5" t="s">
        <v>368</v>
      </c>
      <c r="B137" s="5" t="s">
        <v>158</v>
      </c>
      <c r="C137" s="5" t="s">
        <v>369</v>
      </c>
      <c r="D137" s="5" t="s">
        <v>345</v>
      </c>
      <c r="E137" s="4">
        <v>90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>
        <v>8</v>
      </c>
      <c r="AQ137" s="4"/>
      <c r="AR137" s="4"/>
      <c r="AS137" s="4">
        <v>1080</v>
      </c>
      <c r="AT137" s="4"/>
      <c r="AU137" s="4"/>
      <c r="AV137" s="4"/>
      <c r="AW137" s="4"/>
      <c r="AX137" s="4"/>
      <c r="AY137" s="4"/>
      <c r="AZ137" s="4"/>
      <c r="BA137" s="4"/>
      <c r="BB137" s="4">
        <v>54</v>
      </c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>
        <v>270</v>
      </c>
      <c r="BN137" s="4">
        <v>550</v>
      </c>
      <c r="BO137" s="4"/>
      <c r="BP137" s="4"/>
      <c r="BQ137" s="4"/>
      <c r="BR137" s="4"/>
      <c r="BS137" s="4"/>
      <c r="BT137" s="4"/>
      <c r="BU137" s="4">
        <v>1962</v>
      </c>
      <c r="BV137" s="4"/>
    </row>
    <row r="138" spans="1:74" x14ac:dyDescent="0.25">
      <c r="A138" s="3" t="s">
        <v>370</v>
      </c>
      <c r="B138" s="3" t="s">
        <v>158</v>
      </c>
      <c r="C138" s="3" t="s">
        <v>371</v>
      </c>
      <c r="D138" s="3" t="s">
        <v>345</v>
      </c>
      <c r="E138" s="4"/>
      <c r="F138" s="4">
        <v>90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>
        <v>8</v>
      </c>
      <c r="AQ138" s="4"/>
      <c r="AR138" s="4"/>
      <c r="AS138" s="4">
        <v>1080</v>
      </c>
      <c r="AT138" s="4"/>
      <c r="AU138" s="4"/>
      <c r="AV138" s="4"/>
      <c r="AW138" s="4"/>
      <c r="AX138" s="4"/>
      <c r="AY138" s="4"/>
      <c r="AZ138" s="4"/>
      <c r="BA138" s="4"/>
      <c r="BB138" s="4">
        <v>54</v>
      </c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>
        <v>270</v>
      </c>
      <c r="BN138" s="4">
        <v>550</v>
      </c>
      <c r="BO138" s="4"/>
      <c r="BP138" s="4"/>
      <c r="BQ138" s="4"/>
      <c r="BR138" s="4"/>
      <c r="BS138" s="4"/>
      <c r="BT138" s="4"/>
      <c r="BU138" s="4">
        <v>1962</v>
      </c>
      <c r="BV138" s="4"/>
    </row>
    <row r="139" spans="1:74" x14ac:dyDescent="0.25">
      <c r="A139" s="5" t="s">
        <v>372</v>
      </c>
      <c r="B139" s="5" t="s">
        <v>158</v>
      </c>
      <c r="C139" s="5" t="s">
        <v>373</v>
      </c>
      <c r="D139" s="5" t="s">
        <v>345</v>
      </c>
      <c r="E139" s="4">
        <v>180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>
        <v>8</v>
      </c>
      <c r="AQ139" s="4"/>
      <c r="AR139" s="4"/>
      <c r="AS139" s="4">
        <v>2160</v>
      </c>
      <c r="AT139" s="4"/>
      <c r="AU139" s="4"/>
      <c r="AV139" s="4"/>
      <c r="AW139" s="4"/>
      <c r="AX139" s="4"/>
      <c r="AY139" s="4"/>
      <c r="AZ139" s="4"/>
      <c r="BA139" s="4"/>
      <c r="BB139" s="4">
        <v>108</v>
      </c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>
        <v>360</v>
      </c>
      <c r="BN139" s="4">
        <v>550</v>
      </c>
      <c r="BO139" s="4"/>
      <c r="BP139" s="4"/>
      <c r="BQ139" s="4"/>
      <c r="BR139" s="4"/>
      <c r="BS139" s="4"/>
      <c r="BT139" s="4"/>
      <c r="BU139" s="4">
        <v>2124</v>
      </c>
      <c r="BV139" s="4"/>
    </row>
    <row r="140" spans="1:74" x14ac:dyDescent="0.25">
      <c r="A140" s="3" t="s">
        <v>374</v>
      </c>
      <c r="B140" s="3" t="s">
        <v>158</v>
      </c>
      <c r="C140" s="3" t="s">
        <v>375</v>
      </c>
      <c r="D140" s="3" t="s">
        <v>345</v>
      </c>
      <c r="E140" s="4"/>
      <c r="F140" s="4">
        <v>180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>
        <v>8</v>
      </c>
      <c r="AQ140" s="4"/>
      <c r="AR140" s="4"/>
      <c r="AS140" s="4">
        <v>2160</v>
      </c>
      <c r="AT140" s="4"/>
      <c r="AU140" s="4"/>
      <c r="AV140" s="4"/>
      <c r="AW140" s="4"/>
      <c r="AX140" s="4"/>
      <c r="AY140" s="4"/>
      <c r="AZ140" s="4"/>
      <c r="BA140" s="4"/>
      <c r="BB140" s="4">
        <v>108</v>
      </c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>
        <v>360</v>
      </c>
      <c r="BN140" s="4">
        <v>550</v>
      </c>
      <c r="BO140" s="4"/>
      <c r="BP140" s="4"/>
      <c r="BQ140" s="4"/>
      <c r="BR140" s="4"/>
      <c r="BS140" s="4"/>
      <c r="BT140" s="4"/>
      <c r="BU140" s="4">
        <v>2124</v>
      </c>
      <c r="BV140" s="4"/>
    </row>
    <row r="141" spans="1:74" x14ac:dyDescent="0.25">
      <c r="A141" s="5" t="s">
        <v>376</v>
      </c>
      <c r="B141" s="5" t="s">
        <v>175</v>
      </c>
      <c r="C141" s="5" t="s">
        <v>377</v>
      </c>
      <c r="D141" s="5" t="s">
        <v>345</v>
      </c>
      <c r="E141" s="4">
        <v>180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>
        <v>4</v>
      </c>
      <c r="AQ141" s="4"/>
      <c r="AR141" s="4"/>
      <c r="AS141" s="4">
        <v>1080</v>
      </c>
      <c r="AT141" s="4"/>
      <c r="AU141" s="4"/>
      <c r="AV141" s="4"/>
      <c r="AW141" s="4"/>
      <c r="AX141" s="4"/>
      <c r="AY141" s="4"/>
      <c r="AZ141" s="4"/>
      <c r="BA141" s="4"/>
      <c r="BB141" s="4">
        <v>54</v>
      </c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>
        <v>360</v>
      </c>
      <c r="BN141" s="4"/>
      <c r="BO141" s="4"/>
      <c r="BP141" s="4"/>
      <c r="BQ141" s="4"/>
      <c r="BR141" s="4"/>
      <c r="BS141" s="4"/>
      <c r="BT141" s="4"/>
      <c r="BU141" s="4">
        <v>1062</v>
      </c>
      <c r="BV141" s="4"/>
    </row>
    <row r="142" spans="1:74" x14ac:dyDescent="0.25">
      <c r="A142" s="3" t="s">
        <v>378</v>
      </c>
      <c r="B142" s="3" t="s">
        <v>175</v>
      </c>
      <c r="C142" s="3" t="s">
        <v>379</v>
      </c>
      <c r="D142" s="3" t="s">
        <v>345</v>
      </c>
      <c r="E142" s="4"/>
      <c r="F142" s="4">
        <v>180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>
        <v>4</v>
      </c>
      <c r="AQ142" s="4"/>
      <c r="AR142" s="4"/>
      <c r="AS142" s="4">
        <v>1080</v>
      </c>
      <c r="AT142" s="4"/>
      <c r="AU142" s="4"/>
      <c r="AV142" s="4"/>
      <c r="AW142" s="4"/>
      <c r="AX142" s="4"/>
      <c r="AY142" s="4"/>
      <c r="AZ142" s="4"/>
      <c r="BA142" s="4"/>
      <c r="BB142" s="4">
        <v>54</v>
      </c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>
        <v>360</v>
      </c>
      <c r="BN142" s="4"/>
      <c r="BO142" s="4"/>
      <c r="BP142" s="4"/>
      <c r="BQ142" s="4"/>
      <c r="BR142" s="4"/>
      <c r="BS142" s="4"/>
      <c r="BT142" s="4"/>
      <c r="BU142" s="4">
        <v>1062</v>
      </c>
      <c r="BV142" s="4"/>
    </row>
    <row r="143" spans="1:74" x14ac:dyDescent="0.25">
      <c r="A143" s="5" t="s">
        <v>380</v>
      </c>
      <c r="B143" s="5" t="s">
        <v>175</v>
      </c>
      <c r="C143" s="5" t="s">
        <v>381</v>
      </c>
      <c r="D143" s="5" t="s">
        <v>345</v>
      </c>
      <c r="E143" s="4">
        <v>540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>
        <v>4</v>
      </c>
      <c r="AQ143" s="4"/>
      <c r="AR143" s="4"/>
      <c r="AS143" s="4">
        <v>3240</v>
      </c>
      <c r="AT143" s="4"/>
      <c r="AU143" s="4"/>
      <c r="AV143" s="4"/>
      <c r="AW143" s="4"/>
      <c r="AX143" s="4"/>
      <c r="AY143" s="4"/>
      <c r="AZ143" s="4"/>
      <c r="BA143" s="4"/>
      <c r="BB143" s="4">
        <v>162</v>
      </c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>
        <v>720</v>
      </c>
      <c r="BN143" s="4"/>
      <c r="BO143" s="4"/>
      <c r="BP143" s="4"/>
      <c r="BQ143" s="4"/>
      <c r="BR143" s="4"/>
      <c r="BS143" s="4"/>
      <c r="BT143" s="4"/>
      <c r="BU143" s="4">
        <v>1386</v>
      </c>
      <c r="BV143" s="4"/>
    </row>
    <row r="144" spans="1:74" x14ac:dyDescent="0.25">
      <c r="A144" s="3" t="s">
        <v>382</v>
      </c>
      <c r="B144" s="3" t="s">
        <v>175</v>
      </c>
      <c r="C144" s="3" t="s">
        <v>383</v>
      </c>
      <c r="D144" s="3" t="s">
        <v>345</v>
      </c>
      <c r="E144" s="4"/>
      <c r="F144" s="4">
        <v>540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>
        <v>4</v>
      </c>
      <c r="AQ144" s="4"/>
      <c r="AR144" s="4"/>
      <c r="AS144" s="4">
        <v>3240</v>
      </c>
      <c r="AT144" s="4"/>
      <c r="AU144" s="4"/>
      <c r="AV144" s="4"/>
      <c r="AW144" s="4"/>
      <c r="AX144" s="4"/>
      <c r="AY144" s="4"/>
      <c r="AZ144" s="4"/>
      <c r="BA144" s="4"/>
      <c r="BB144" s="4">
        <v>162</v>
      </c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>
        <v>720</v>
      </c>
      <c r="BN144" s="4"/>
      <c r="BO144" s="4"/>
      <c r="BP144" s="4"/>
      <c r="BQ144" s="4"/>
      <c r="BR144" s="4"/>
      <c r="BS144" s="4"/>
      <c r="BT144" s="4"/>
      <c r="BU144" s="4">
        <v>1386</v>
      </c>
      <c r="BV144" s="4"/>
    </row>
    <row r="145" spans="1:74" x14ac:dyDescent="0.25">
      <c r="A145" s="5" t="s">
        <v>384</v>
      </c>
      <c r="B145" s="5" t="s">
        <v>188</v>
      </c>
      <c r="C145" s="5" t="s">
        <v>385</v>
      </c>
      <c r="D145" s="5" t="s">
        <v>345</v>
      </c>
      <c r="E145" s="4"/>
      <c r="F145" s="4"/>
      <c r="G145" s="4"/>
      <c r="H145" s="4"/>
      <c r="I145" s="4">
        <v>90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>
        <v>1</v>
      </c>
      <c r="AQ145" s="4"/>
      <c r="AR145" s="4"/>
      <c r="AS145" s="4">
        <v>135</v>
      </c>
      <c r="AT145" s="4"/>
      <c r="AU145" s="4"/>
      <c r="AV145" s="4"/>
      <c r="AW145" s="4"/>
      <c r="AX145" s="4"/>
      <c r="AY145" s="4"/>
      <c r="AZ145" s="4"/>
      <c r="BA145" s="4"/>
      <c r="BB145" s="4">
        <v>27</v>
      </c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>
        <v>270</v>
      </c>
      <c r="BN145" s="4"/>
      <c r="BO145" s="4"/>
      <c r="BP145" s="4"/>
      <c r="BQ145" s="4"/>
      <c r="BR145" s="4"/>
      <c r="BS145" s="4"/>
      <c r="BT145" s="4"/>
      <c r="BU145" s="4">
        <v>981</v>
      </c>
      <c r="BV145" s="4"/>
    </row>
    <row r="146" spans="1:74" x14ac:dyDescent="0.25">
      <c r="A146" s="3" t="s">
        <v>386</v>
      </c>
      <c r="B146" s="3" t="s">
        <v>188</v>
      </c>
      <c r="C146" s="3" t="s">
        <v>387</v>
      </c>
      <c r="D146" s="3" t="s">
        <v>345</v>
      </c>
      <c r="E146" s="4"/>
      <c r="F146" s="4"/>
      <c r="G146" s="4"/>
      <c r="H146" s="4"/>
      <c r="I146" s="4">
        <v>90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>
        <v>4</v>
      </c>
      <c r="AQ146" s="4"/>
      <c r="AR146" s="4"/>
      <c r="AS146" s="4">
        <v>540</v>
      </c>
      <c r="AT146" s="4"/>
      <c r="AU146" s="4"/>
      <c r="AV146" s="4"/>
      <c r="AW146" s="4"/>
      <c r="AX146" s="4"/>
      <c r="AY146" s="4"/>
      <c r="AZ146" s="4"/>
      <c r="BA146" s="4"/>
      <c r="BB146" s="4">
        <v>27</v>
      </c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>
        <v>270</v>
      </c>
      <c r="BN146" s="4"/>
      <c r="BO146" s="4"/>
      <c r="BP146" s="4"/>
      <c r="BQ146" s="4"/>
      <c r="BR146" s="4"/>
      <c r="BS146" s="4"/>
      <c r="BT146" s="4"/>
      <c r="BU146" s="4">
        <v>981</v>
      </c>
      <c r="BV146" s="4"/>
    </row>
    <row r="147" spans="1:74" x14ac:dyDescent="0.25">
      <c r="A147" s="5" t="s">
        <v>388</v>
      </c>
      <c r="B147" s="5" t="s">
        <v>320</v>
      </c>
      <c r="C147" s="5" t="s">
        <v>389</v>
      </c>
      <c r="D147" s="5" t="s">
        <v>345</v>
      </c>
      <c r="E147" s="4"/>
      <c r="F147" s="4">
        <v>540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>
        <v>4</v>
      </c>
      <c r="AQ147" s="4"/>
      <c r="AR147" s="4"/>
      <c r="AS147" s="4">
        <v>3240</v>
      </c>
      <c r="AT147" s="4"/>
      <c r="AU147" s="4"/>
      <c r="AV147" s="4"/>
      <c r="AW147" s="4"/>
      <c r="AX147" s="4"/>
      <c r="AY147" s="4"/>
      <c r="AZ147" s="4"/>
      <c r="BA147" s="4"/>
      <c r="BB147" s="4">
        <v>162</v>
      </c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>
        <v>720</v>
      </c>
      <c r="BN147" s="4"/>
      <c r="BO147" s="4"/>
      <c r="BP147" s="4"/>
      <c r="BQ147" s="4"/>
      <c r="BR147" s="4"/>
      <c r="BS147" s="4"/>
      <c r="BT147" s="4"/>
      <c r="BU147" s="4">
        <v>1386</v>
      </c>
      <c r="BV147" s="4"/>
    </row>
    <row r="148" spans="1:74" x14ac:dyDescent="0.25">
      <c r="A148" s="3" t="s">
        <v>390</v>
      </c>
      <c r="B148" s="3" t="s">
        <v>270</v>
      </c>
      <c r="C148" s="3" t="s">
        <v>391</v>
      </c>
      <c r="D148" s="3" t="s">
        <v>345</v>
      </c>
      <c r="E148" s="4">
        <v>270</v>
      </c>
      <c r="F148" s="4"/>
      <c r="G148" s="4">
        <v>135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>
        <v>2000</v>
      </c>
      <c r="AJ148" s="4"/>
      <c r="AK148" s="4"/>
      <c r="AL148" s="4"/>
      <c r="AM148" s="4"/>
      <c r="AN148" s="4"/>
      <c r="AO148" s="4"/>
      <c r="AP148" s="4">
        <v>12</v>
      </c>
      <c r="AQ148" s="4"/>
      <c r="AR148" s="4"/>
      <c r="AS148" s="4">
        <v>4860</v>
      </c>
      <c r="AT148" s="4"/>
      <c r="AU148" s="4"/>
      <c r="AV148" s="4"/>
      <c r="AW148" s="4"/>
      <c r="AX148" s="4"/>
      <c r="AY148" s="4"/>
      <c r="AZ148" s="4"/>
      <c r="BA148" s="4"/>
      <c r="BB148" s="4">
        <v>243</v>
      </c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>
        <v>1800</v>
      </c>
      <c r="BN148" s="4">
        <v>4600</v>
      </c>
      <c r="BO148" s="4"/>
      <c r="BP148" s="4"/>
      <c r="BQ148" s="4"/>
      <c r="BR148" s="4"/>
      <c r="BS148" s="4"/>
      <c r="BT148" s="4"/>
      <c r="BU148" s="4">
        <v>4329</v>
      </c>
      <c r="BV148" s="4"/>
    </row>
    <row r="149" spans="1:74" x14ac:dyDescent="0.25">
      <c r="A149" s="5" t="s">
        <v>392</v>
      </c>
      <c r="B149" s="5" t="s">
        <v>270</v>
      </c>
      <c r="C149" s="5" t="s">
        <v>393</v>
      </c>
      <c r="D149" s="5" t="s">
        <v>345</v>
      </c>
      <c r="E149" s="4">
        <v>540</v>
      </c>
      <c r="F149" s="4"/>
      <c r="G149" s="4">
        <v>135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>
        <v>2000</v>
      </c>
      <c r="AJ149" s="4"/>
      <c r="AK149" s="4"/>
      <c r="AL149" s="4"/>
      <c r="AM149" s="4"/>
      <c r="AN149" s="4"/>
      <c r="AO149" s="4"/>
      <c r="AP149" s="4">
        <v>16</v>
      </c>
      <c r="AQ149" s="4"/>
      <c r="AR149" s="4"/>
      <c r="AS149" s="4">
        <v>8100</v>
      </c>
      <c r="AT149" s="4"/>
      <c r="AU149" s="4"/>
      <c r="AV149" s="4"/>
      <c r="AW149" s="4"/>
      <c r="AX149" s="4"/>
      <c r="AY149" s="4"/>
      <c r="AZ149" s="4"/>
      <c r="BA149" s="4"/>
      <c r="BB149" s="4">
        <v>405</v>
      </c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>
        <v>1800</v>
      </c>
      <c r="BN149" s="4">
        <v>4600</v>
      </c>
      <c r="BO149" s="4"/>
      <c r="BP149" s="4"/>
      <c r="BQ149" s="4"/>
      <c r="BR149" s="4"/>
      <c r="BS149" s="4"/>
      <c r="BT149" s="4"/>
      <c r="BU149" s="4">
        <v>4815</v>
      </c>
      <c r="BV149" s="4"/>
    </row>
    <row r="150" spans="1:74" x14ac:dyDescent="0.25">
      <c r="A150" s="3" t="s">
        <v>394</v>
      </c>
      <c r="B150" s="3" t="s">
        <v>270</v>
      </c>
      <c r="C150" s="3" t="s">
        <v>395</v>
      </c>
      <c r="D150" s="3" t="s">
        <v>345</v>
      </c>
      <c r="E150" s="4">
        <v>810</v>
      </c>
      <c r="F150" s="4"/>
      <c r="G150" s="4">
        <v>135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>
        <v>2000</v>
      </c>
      <c r="AJ150" s="4"/>
      <c r="AK150" s="4"/>
      <c r="AL150" s="4"/>
      <c r="AM150" s="4"/>
      <c r="AN150" s="4"/>
      <c r="AO150" s="4"/>
      <c r="AP150" s="4">
        <v>20</v>
      </c>
      <c r="AQ150" s="4"/>
      <c r="AR150" s="4"/>
      <c r="AS150" s="4">
        <v>11340</v>
      </c>
      <c r="AT150" s="4"/>
      <c r="AU150" s="4"/>
      <c r="AV150" s="4"/>
      <c r="AW150" s="4"/>
      <c r="AX150" s="4"/>
      <c r="AY150" s="4"/>
      <c r="AZ150" s="4"/>
      <c r="BA150" s="4"/>
      <c r="BB150" s="4">
        <v>567</v>
      </c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>
        <v>1800</v>
      </c>
      <c r="BN150" s="4">
        <v>4600</v>
      </c>
      <c r="BO150" s="4"/>
      <c r="BP150" s="4"/>
      <c r="BQ150" s="4"/>
      <c r="BR150" s="4"/>
      <c r="BS150" s="4"/>
      <c r="BT150" s="4"/>
      <c r="BU150" s="4">
        <v>7101</v>
      </c>
      <c r="BV150" s="4"/>
    </row>
    <row r="151" spans="1:74" x14ac:dyDescent="0.25">
      <c r="A151" s="5" t="s">
        <v>396</v>
      </c>
      <c r="B151" s="5" t="s">
        <v>270</v>
      </c>
      <c r="C151" s="5" t="s">
        <v>397</v>
      </c>
      <c r="D151" s="5" t="s">
        <v>345</v>
      </c>
      <c r="E151" s="4">
        <v>1080</v>
      </c>
      <c r="F151" s="4"/>
      <c r="G151" s="4">
        <v>135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>
        <v>2000</v>
      </c>
      <c r="AJ151" s="4"/>
      <c r="AK151" s="4"/>
      <c r="AL151" s="4"/>
      <c r="AM151" s="4"/>
      <c r="AN151" s="4"/>
      <c r="AO151" s="4"/>
      <c r="AP151" s="4">
        <v>24</v>
      </c>
      <c r="AQ151" s="4"/>
      <c r="AR151" s="4"/>
      <c r="AS151" s="4">
        <v>14580</v>
      </c>
      <c r="AT151" s="4"/>
      <c r="AU151" s="4"/>
      <c r="AV151" s="4"/>
      <c r="AW151" s="4"/>
      <c r="AX151" s="4"/>
      <c r="AY151" s="4"/>
      <c r="AZ151" s="4"/>
      <c r="BA151" s="4"/>
      <c r="BB151" s="4">
        <v>729</v>
      </c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>
        <v>1800</v>
      </c>
      <c r="BN151" s="4">
        <v>4600</v>
      </c>
      <c r="BO151" s="4"/>
      <c r="BP151" s="4"/>
      <c r="BQ151" s="4"/>
      <c r="BR151" s="4"/>
      <c r="BS151" s="4"/>
      <c r="BT151" s="4"/>
      <c r="BU151" s="4">
        <v>7587</v>
      </c>
      <c r="BV151" s="4"/>
    </row>
    <row r="152" spans="1:74" x14ac:dyDescent="0.25">
      <c r="A152" s="3" t="s">
        <v>398</v>
      </c>
      <c r="B152" s="3" t="s">
        <v>270</v>
      </c>
      <c r="C152" s="3" t="s">
        <v>399</v>
      </c>
      <c r="D152" s="3" t="s">
        <v>345</v>
      </c>
      <c r="E152" s="4">
        <v>1620</v>
      </c>
      <c r="F152" s="4"/>
      <c r="G152" s="4">
        <v>135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>
        <v>2000</v>
      </c>
      <c r="AJ152" s="4"/>
      <c r="AK152" s="4"/>
      <c r="AL152" s="4"/>
      <c r="AM152" s="4"/>
      <c r="AN152" s="4"/>
      <c r="AO152" s="4"/>
      <c r="AP152" s="4">
        <v>32</v>
      </c>
      <c r="AQ152" s="4"/>
      <c r="AR152" s="4"/>
      <c r="AS152" s="4">
        <v>21060</v>
      </c>
      <c r="AT152" s="4"/>
      <c r="AU152" s="4"/>
      <c r="AV152" s="4"/>
      <c r="AW152" s="4"/>
      <c r="AX152" s="4"/>
      <c r="AY152" s="4"/>
      <c r="AZ152" s="4"/>
      <c r="BA152" s="4"/>
      <c r="BB152" s="4">
        <v>1053</v>
      </c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>
        <v>1800</v>
      </c>
      <c r="BN152" s="4">
        <v>4600</v>
      </c>
      <c r="BO152" s="4"/>
      <c r="BP152" s="4"/>
      <c r="BQ152" s="4"/>
      <c r="BR152" s="4"/>
      <c r="BS152" s="4"/>
      <c r="BT152" s="4"/>
      <c r="BU152" s="4">
        <v>10359</v>
      </c>
      <c r="BV152" s="4"/>
    </row>
    <row r="153" spans="1:74" x14ac:dyDescent="0.25">
      <c r="A153" s="5" t="s">
        <v>400</v>
      </c>
      <c r="B153" s="5" t="s">
        <v>188</v>
      </c>
      <c r="C153" s="5" t="s">
        <v>401</v>
      </c>
      <c r="D153" s="5" t="s">
        <v>345</v>
      </c>
      <c r="E153" s="4"/>
      <c r="F153" s="4"/>
      <c r="G153" s="4"/>
      <c r="H153" s="4"/>
      <c r="I153" s="4">
        <v>132.5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>
        <v>106</v>
      </c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>
        <v>550.79999999999995</v>
      </c>
      <c r="BE153" s="4"/>
      <c r="BF153" s="4"/>
      <c r="BG153" s="4"/>
      <c r="BH153" s="4"/>
      <c r="BI153" s="4"/>
      <c r="BJ153" s="4"/>
      <c r="BK153" s="4"/>
      <c r="BL153" s="4"/>
      <c r="BM153" s="4">
        <v>332</v>
      </c>
      <c r="BN153" s="4"/>
      <c r="BO153" s="4"/>
      <c r="BP153" s="4"/>
      <c r="BQ153" s="4"/>
      <c r="BR153" s="4"/>
      <c r="BS153" s="4"/>
      <c r="BT153" s="4"/>
      <c r="BU153" s="4"/>
      <c r="BV153" s="4"/>
    </row>
    <row r="154" spans="1:74" x14ac:dyDescent="0.25">
      <c r="A154" s="3" t="s">
        <v>402</v>
      </c>
      <c r="B154" s="3" t="s">
        <v>188</v>
      </c>
      <c r="C154" s="3" t="s">
        <v>403</v>
      </c>
      <c r="D154" s="3" t="s">
        <v>345</v>
      </c>
      <c r="E154" s="4"/>
      <c r="F154" s="4"/>
      <c r="G154" s="4"/>
      <c r="H154" s="4"/>
      <c r="I154" s="4">
        <v>132.5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>
        <v>212</v>
      </c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>
        <v>550.79999999999995</v>
      </c>
      <c r="BE154" s="4"/>
      <c r="BF154" s="4"/>
      <c r="BG154" s="4"/>
      <c r="BH154" s="4"/>
      <c r="BI154" s="4"/>
      <c r="BJ154" s="4"/>
      <c r="BK154" s="4"/>
      <c r="BL154" s="4"/>
      <c r="BM154" s="4">
        <v>332</v>
      </c>
      <c r="BN154" s="4"/>
      <c r="BO154" s="4"/>
      <c r="BP154" s="4"/>
      <c r="BQ154" s="4"/>
      <c r="BR154" s="4"/>
      <c r="BS154" s="4"/>
      <c r="BT154" s="4"/>
      <c r="BU154" s="4"/>
      <c r="BV154" s="4"/>
    </row>
    <row r="155" spans="1:74" x14ac:dyDescent="0.25">
      <c r="A155" s="5" t="s">
        <v>404</v>
      </c>
      <c r="B155" s="5" t="s">
        <v>109</v>
      </c>
      <c r="C155" s="5" t="s">
        <v>405</v>
      </c>
      <c r="D155" s="5" t="s">
        <v>345</v>
      </c>
      <c r="E155" s="4">
        <v>33.125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>
        <v>212</v>
      </c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>
        <v>815.4</v>
      </c>
      <c r="BE155" s="4"/>
      <c r="BF155" s="4"/>
      <c r="BG155" s="4"/>
      <c r="BH155" s="4"/>
      <c r="BI155" s="4"/>
      <c r="BJ155" s="4"/>
      <c r="BK155" s="4"/>
      <c r="BL155" s="4"/>
      <c r="BM155" s="4">
        <v>173</v>
      </c>
      <c r="BN155" s="4"/>
      <c r="BO155" s="4"/>
      <c r="BP155" s="4"/>
      <c r="BQ155" s="4"/>
      <c r="BR155" s="4"/>
      <c r="BS155" s="4"/>
      <c r="BT155" s="4"/>
      <c r="BU155" s="4"/>
      <c r="BV155" s="4"/>
    </row>
    <row r="156" spans="1:74" x14ac:dyDescent="0.25">
      <c r="A156" s="3" t="s">
        <v>406</v>
      </c>
      <c r="B156" s="3" t="s">
        <v>109</v>
      </c>
      <c r="C156" s="3" t="s">
        <v>407</v>
      </c>
      <c r="D156" s="3" t="s">
        <v>345</v>
      </c>
      <c r="E156" s="4">
        <v>66.25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>
        <v>424</v>
      </c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>
        <v>910.8</v>
      </c>
      <c r="BE156" s="4"/>
      <c r="BF156" s="4"/>
      <c r="BG156" s="4"/>
      <c r="BH156" s="4"/>
      <c r="BI156" s="4"/>
      <c r="BJ156" s="4"/>
      <c r="BK156" s="4"/>
      <c r="BL156" s="4"/>
      <c r="BM156" s="4">
        <v>226</v>
      </c>
      <c r="BN156" s="4"/>
      <c r="BO156" s="4"/>
      <c r="BP156" s="4"/>
      <c r="BQ156" s="4"/>
      <c r="BR156" s="4"/>
      <c r="BS156" s="4"/>
      <c r="BT156" s="4"/>
      <c r="BU156" s="4"/>
      <c r="BV156" s="4"/>
    </row>
    <row r="157" spans="1:74" x14ac:dyDescent="0.25">
      <c r="A157" s="5" t="s">
        <v>408</v>
      </c>
      <c r="B157" s="5" t="s">
        <v>109</v>
      </c>
      <c r="C157" s="5" t="s">
        <v>409</v>
      </c>
      <c r="D157" s="5" t="s">
        <v>345</v>
      </c>
      <c r="E157" s="4">
        <v>132.5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>
        <v>848</v>
      </c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>
        <v>1101.5999999999999</v>
      </c>
      <c r="BE157" s="4"/>
      <c r="BF157" s="4"/>
      <c r="BG157" s="4"/>
      <c r="BH157" s="4"/>
      <c r="BI157" s="4"/>
      <c r="BJ157" s="4"/>
      <c r="BK157" s="4"/>
      <c r="BL157" s="4"/>
      <c r="BM157" s="4">
        <v>332</v>
      </c>
      <c r="BN157" s="4"/>
      <c r="BO157" s="4"/>
      <c r="BP157" s="4"/>
      <c r="BQ157" s="4"/>
      <c r="BR157" s="4"/>
      <c r="BS157" s="4"/>
      <c r="BT157" s="4"/>
      <c r="BU157" s="4"/>
      <c r="BV157" s="4"/>
    </row>
    <row r="158" spans="1:74" x14ac:dyDescent="0.25">
      <c r="A158" s="3" t="s">
        <v>410</v>
      </c>
      <c r="B158" s="3" t="s">
        <v>109</v>
      </c>
      <c r="C158" s="3" t="s">
        <v>411</v>
      </c>
      <c r="D158" s="3" t="s">
        <v>345</v>
      </c>
      <c r="E158" s="4">
        <v>44.166699999999999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>
        <v>282.66669999999999</v>
      </c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>
        <v>847.2</v>
      </c>
      <c r="BE158" s="4"/>
      <c r="BF158" s="4"/>
      <c r="BG158" s="4"/>
      <c r="BH158" s="4"/>
      <c r="BI158" s="4"/>
      <c r="BJ158" s="4"/>
      <c r="BK158" s="4"/>
      <c r="BL158" s="4"/>
      <c r="BM158" s="4">
        <v>190.67</v>
      </c>
      <c r="BN158" s="4"/>
      <c r="BO158" s="4"/>
      <c r="BP158" s="4"/>
      <c r="BQ158" s="4"/>
      <c r="BR158" s="4"/>
      <c r="BS158" s="4"/>
      <c r="BT158" s="4"/>
      <c r="BU158" s="4"/>
      <c r="BV158" s="4"/>
    </row>
    <row r="159" spans="1:74" x14ac:dyDescent="0.25">
      <c r="A159" s="5" t="s">
        <v>412</v>
      </c>
      <c r="B159" s="5" t="s">
        <v>75</v>
      </c>
      <c r="C159" s="5" t="s">
        <v>413</v>
      </c>
      <c r="D159" s="5" t="s">
        <v>345</v>
      </c>
      <c r="E159" s="4"/>
      <c r="F159" s="4"/>
      <c r="G159" s="4"/>
      <c r="H159" s="4">
        <v>12.619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>
        <v>80.761899999999997</v>
      </c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>
        <v>756.34</v>
      </c>
      <c r="BE159" s="4"/>
      <c r="BF159" s="4"/>
      <c r="BG159" s="4"/>
      <c r="BH159" s="4"/>
      <c r="BI159" s="4"/>
      <c r="BJ159" s="4"/>
      <c r="BK159" s="4"/>
      <c r="BL159" s="4"/>
      <c r="BM159" s="4">
        <v>140.19</v>
      </c>
      <c r="BN159" s="4"/>
      <c r="BO159" s="4"/>
      <c r="BP159" s="4"/>
      <c r="BQ159" s="4"/>
      <c r="BR159" s="4"/>
      <c r="BS159" s="4"/>
      <c r="BT159" s="4"/>
      <c r="BU159" s="4"/>
      <c r="BV159" s="4"/>
    </row>
    <row r="160" spans="1:74" x14ac:dyDescent="0.25">
      <c r="A160" s="3" t="s">
        <v>414</v>
      </c>
      <c r="B160" s="3" t="s">
        <v>415</v>
      </c>
      <c r="C160" s="3" t="s">
        <v>416</v>
      </c>
      <c r="D160" s="3" t="s">
        <v>345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>
        <v>1030</v>
      </c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>
        <v>64.375</v>
      </c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>
        <v>730.8</v>
      </c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</row>
    <row r="161" spans="1:74" x14ac:dyDescent="0.25">
      <c r="A161" s="5" t="s">
        <v>417</v>
      </c>
      <c r="B161" s="5" t="s">
        <v>415</v>
      </c>
      <c r="C161" s="5" t="s">
        <v>418</v>
      </c>
      <c r="D161" s="5" t="s">
        <v>345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>
        <v>1030</v>
      </c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>
        <v>257.5</v>
      </c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>
        <v>730.8</v>
      </c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</row>
    <row r="162" spans="1:74" x14ac:dyDescent="0.25">
      <c r="A162" s="3" t="s">
        <v>419</v>
      </c>
      <c r="B162" s="3" t="s">
        <v>420</v>
      </c>
      <c r="C162" s="3" t="s">
        <v>421</v>
      </c>
      <c r="D162" s="3" t="s">
        <v>422</v>
      </c>
      <c r="E162" s="4"/>
      <c r="F162" s="4"/>
      <c r="G162" s="4"/>
      <c r="H162" s="4"/>
      <c r="I162" s="4"/>
      <c r="J162" s="4"/>
      <c r="K162" s="4"/>
      <c r="L162" s="4"/>
      <c r="M162" s="4"/>
      <c r="N162" s="4">
        <v>0.34720000000000001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>
        <v>10.5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>
        <v>240</v>
      </c>
      <c r="BU162" s="4"/>
      <c r="BV162" s="4">
        <v>20</v>
      </c>
    </row>
    <row r="163" spans="1:74" x14ac:dyDescent="0.25">
      <c r="A163" s="5" t="s">
        <v>423</v>
      </c>
      <c r="B163" s="5" t="s">
        <v>420</v>
      </c>
      <c r="C163" s="5" t="s">
        <v>424</v>
      </c>
      <c r="D163" s="5" t="s">
        <v>422</v>
      </c>
      <c r="E163" s="4"/>
      <c r="F163" s="4"/>
      <c r="G163" s="4"/>
      <c r="H163" s="4"/>
      <c r="I163" s="4"/>
      <c r="J163" s="4"/>
      <c r="K163" s="4"/>
      <c r="L163" s="4"/>
      <c r="M163" s="4"/>
      <c r="N163" s="4">
        <v>0.34720000000000001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>
        <v>2</v>
      </c>
      <c r="AN163" s="4"/>
      <c r="AO163" s="4"/>
      <c r="AP163" s="4"/>
      <c r="AQ163" s="4"/>
      <c r="AR163" s="4">
        <v>10.5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>
        <v>240</v>
      </c>
      <c r="BU163" s="4"/>
      <c r="BV163" s="4">
        <v>76</v>
      </c>
    </row>
    <row r="164" spans="1:74" x14ac:dyDescent="0.25">
      <c r="A164" s="3" t="s">
        <v>425</v>
      </c>
      <c r="B164" s="3" t="s">
        <v>426</v>
      </c>
      <c r="C164" s="3" t="s">
        <v>427</v>
      </c>
      <c r="D164" s="3" t="s">
        <v>422</v>
      </c>
      <c r="E164" s="4"/>
      <c r="F164" s="4"/>
      <c r="G164" s="4"/>
      <c r="H164" s="4"/>
      <c r="I164" s="4"/>
      <c r="J164" s="4"/>
      <c r="K164" s="4"/>
      <c r="L164" s="4"/>
      <c r="M164" s="4"/>
      <c r="N164" s="4">
        <v>0.76670000000000005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>
        <v>12</v>
      </c>
      <c r="AN164" s="4"/>
      <c r="AO164" s="4"/>
      <c r="AP164" s="4"/>
      <c r="AQ164" s="4"/>
      <c r="AR164" s="4">
        <v>21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>
        <v>480</v>
      </c>
      <c r="BU164" s="4"/>
      <c r="BV164" s="4">
        <v>246</v>
      </c>
    </row>
    <row r="165" spans="1:74" x14ac:dyDescent="0.25">
      <c r="A165" s="5" t="s">
        <v>428</v>
      </c>
      <c r="B165" s="5" t="s">
        <v>426</v>
      </c>
      <c r="C165" s="5" t="s">
        <v>429</v>
      </c>
      <c r="D165" s="5" t="s">
        <v>422</v>
      </c>
      <c r="E165" s="4"/>
      <c r="F165" s="4"/>
      <c r="G165" s="4"/>
      <c r="H165" s="4"/>
      <c r="I165" s="4"/>
      <c r="J165" s="4"/>
      <c r="K165" s="4"/>
      <c r="L165" s="4"/>
      <c r="M165" s="4"/>
      <c r="N165" s="4">
        <v>1.1000000000000001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>
        <v>16</v>
      </c>
      <c r="AN165" s="4"/>
      <c r="AO165" s="4"/>
      <c r="AP165" s="4"/>
      <c r="AQ165" s="4"/>
      <c r="AR165" s="4">
        <v>31.5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>
        <v>720</v>
      </c>
      <c r="BU165" s="4"/>
      <c r="BV165" s="4">
        <v>318</v>
      </c>
    </row>
    <row r="166" spans="1:74" x14ac:dyDescent="0.25">
      <c r="A166" s="3" t="s">
        <v>430</v>
      </c>
      <c r="B166" s="3" t="s">
        <v>426</v>
      </c>
      <c r="C166" s="3" t="s">
        <v>431</v>
      </c>
      <c r="D166" s="3" t="s">
        <v>422</v>
      </c>
      <c r="E166" s="4"/>
      <c r="F166" s="4"/>
      <c r="G166" s="4"/>
      <c r="H166" s="4"/>
      <c r="I166" s="4"/>
      <c r="J166" s="4"/>
      <c r="K166" s="4"/>
      <c r="L166" s="4"/>
      <c r="M166" s="4"/>
      <c r="N166" s="4">
        <v>1.4333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>
        <v>20</v>
      </c>
      <c r="AN166" s="4"/>
      <c r="AO166" s="4"/>
      <c r="AP166" s="4"/>
      <c r="AQ166" s="4"/>
      <c r="AR166" s="4">
        <v>42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>
        <v>960</v>
      </c>
      <c r="BU166" s="4"/>
      <c r="BV166" s="4">
        <v>390</v>
      </c>
    </row>
    <row r="167" spans="1:74" x14ac:dyDescent="0.25">
      <c r="A167" s="5" t="s">
        <v>432</v>
      </c>
      <c r="B167" s="5" t="s">
        <v>426</v>
      </c>
      <c r="C167" s="5" t="s">
        <v>433</v>
      </c>
      <c r="D167" s="5" t="s">
        <v>422</v>
      </c>
      <c r="E167" s="4"/>
      <c r="F167" s="4"/>
      <c r="G167" s="4"/>
      <c r="H167" s="4"/>
      <c r="I167" s="4"/>
      <c r="J167" s="4"/>
      <c r="K167" s="4"/>
      <c r="L167" s="4"/>
      <c r="M167" s="4"/>
      <c r="N167" s="4">
        <v>1.7666999999999999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>
        <v>24</v>
      </c>
      <c r="AN167" s="4"/>
      <c r="AO167" s="4"/>
      <c r="AP167" s="4"/>
      <c r="AQ167" s="4"/>
      <c r="AR167" s="4">
        <v>52.5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>
        <v>1200</v>
      </c>
      <c r="BU167" s="4"/>
      <c r="BV167" s="4">
        <v>462</v>
      </c>
    </row>
    <row r="168" spans="1:74" x14ac:dyDescent="0.25">
      <c r="A168" s="3" t="s">
        <v>434</v>
      </c>
      <c r="B168" s="3" t="s">
        <v>426</v>
      </c>
      <c r="C168" s="3" t="s">
        <v>435</v>
      </c>
      <c r="D168" s="3" t="s">
        <v>422</v>
      </c>
      <c r="E168" s="4"/>
      <c r="F168" s="4"/>
      <c r="G168" s="4"/>
      <c r="H168" s="4"/>
      <c r="I168" s="4"/>
      <c r="J168" s="4"/>
      <c r="K168" s="4"/>
      <c r="L168" s="4"/>
      <c r="M168" s="4"/>
      <c r="N168" s="4">
        <v>2.1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>
        <v>28</v>
      </c>
      <c r="AN168" s="4"/>
      <c r="AO168" s="4"/>
      <c r="AP168" s="4"/>
      <c r="AQ168" s="4"/>
      <c r="AR168" s="4">
        <v>63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>
        <v>1440</v>
      </c>
      <c r="BU168" s="4"/>
      <c r="BV168" s="4">
        <v>534</v>
      </c>
    </row>
    <row r="169" spans="1:74" x14ac:dyDescent="0.25">
      <c r="A169" s="5" t="s">
        <v>436</v>
      </c>
      <c r="B169" s="5" t="s">
        <v>426</v>
      </c>
      <c r="C169" s="5" t="s">
        <v>437</v>
      </c>
      <c r="D169" s="5" t="s">
        <v>422</v>
      </c>
      <c r="E169" s="4"/>
      <c r="F169" s="4"/>
      <c r="G169" s="4"/>
      <c r="H169" s="4"/>
      <c r="I169" s="4"/>
      <c r="J169" s="4"/>
      <c r="K169" s="4"/>
      <c r="L169" s="4"/>
      <c r="M169" s="4"/>
      <c r="N169" s="4">
        <v>2.7667000000000002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>
        <v>36</v>
      </c>
      <c r="AN169" s="4"/>
      <c r="AO169" s="4"/>
      <c r="AP169" s="4"/>
      <c r="AQ169" s="4"/>
      <c r="AR169" s="4">
        <v>84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>
        <v>1920</v>
      </c>
      <c r="BU169" s="4"/>
      <c r="BV169" s="4">
        <v>678</v>
      </c>
    </row>
    <row r="170" spans="1:74" x14ac:dyDescent="0.25">
      <c r="A170" s="3" t="s">
        <v>438</v>
      </c>
      <c r="B170" s="3" t="s">
        <v>426</v>
      </c>
      <c r="C170" s="3" t="s">
        <v>439</v>
      </c>
      <c r="D170" s="3" t="s">
        <v>422</v>
      </c>
      <c r="E170" s="4"/>
      <c r="F170" s="4"/>
      <c r="G170" s="4"/>
      <c r="H170" s="4"/>
      <c r="I170" s="4"/>
      <c r="J170" s="4"/>
      <c r="K170" s="4"/>
      <c r="L170" s="4"/>
      <c r="M170" s="4"/>
      <c r="N170" s="4">
        <v>3.4333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>
        <v>44</v>
      </c>
      <c r="AN170" s="4"/>
      <c r="AO170" s="4"/>
      <c r="AP170" s="4"/>
      <c r="AQ170" s="4"/>
      <c r="AR170" s="4">
        <v>105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>
        <v>2400</v>
      </c>
      <c r="BU170" s="4"/>
      <c r="BV170" s="4">
        <v>822</v>
      </c>
    </row>
    <row r="171" spans="1:74" x14ac:dyDescent="0.25">
      <c r="A171" s="5" t="s">
        <v>440</v>
      </c>
      <c r="B171" s="5" t="s">
        <v>426</v>
      </c>
      <c r="C171" s="5" t="s">
        <v>441</v>
      </c>
      <c r="D171" s="5" t="s">
        <v>422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>
        <v>3.1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>
        <v>16</v>
      </c>
      <c r="AN171" s="4"/>
      <c r="AO171" s="4"/>
      <c r="AP171" s="4"/>
      <c r="AQ171" s="4"/>
      <c r="AR171" s="4">
        <v>31.5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>
        <v>900</v>
      </c>
      <c r="BU171" s="4"/>
      <c r="BV171" s="4">
        <v>318</v>
      </c>
    </row>
    <row r="172" spans="1:74" x14ac:dyDescent="0.25">
      <c r="A172" s="3" t="s">
        <v>442</v>
      </c>
      <c r="B172" s="3" t="s">
        <v>426</v>
      </c>
      <c r="C172" s="3" t="s">
        <v>443</v>
      </c>
      <c r="D172" s="3" t="s">
        <v>422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>
        <v>5.0999999999999996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>
        <v>24</v>
      </c>
      <c r="AN172" s="4"/>
      <c r="AO172" s="4"/>
      <c r="AP172" s="4"/>
      <c r="AQ172" s="4"/>
      <c r="AR172" s="4">
        <v>52.5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>
        <v>1500</v>
      </c>
      <c r="BU172" s="4"/>
      <c r="BV172" s="4">
        <v>462</v>
      </c>
    </row>
    <row r="173" spans="1:74" x14ac:dyDescent="0.25">
      <c r="A173" s="5" t="s">
        <v>444</v>
      </c>
      <c r="B173" s="5" t="s">
        <v>445</v>
      </c>
      <c r="C173" s="5" t="s">
        <v>446</v>
      </c>
      <c r="D173" s="5" t="s">
        <v>422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>
        <v>2.1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>
        <v>1</v>
      </c>
      <c r="AO173" s="4"/>
      <c r="AP173" s="4"/>
      <c r="AQ173" s="4"/>
      <c r="AR173" s="4">
        <v>17.850000000000001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>
        <v>442</v>
      </c>
      <c r="BU173" s="4"/>
      <c r="BV173" s="4">
        <v>330</v>
      </c>
    </row>
    <row r="174" spans="1:74" x14ac:dyDescent="0.25">
      <c r="A174" s="3" t="s">
        <v>447</v>
      </c>
      <c r="B174" s="3" t="s">
        <v>445</v>
      </c>
      <c r="C174" s="3" t="s">
        <v>448</v>
      </c>
      <c r="D174" s="3" t="s">
        <v>422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>
        <v>4.2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>
        <v>1</v>
      </c>
      <c r="AO174" s="4"/>
      <c r="AP174" s="4"/>
      <c r="AQ174" s="4"/>
      <c r="AR174" s="4">
        <v>21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>
        <v>520</v>
      </c>
      <c r="BU174" s="4"/>
      <c r="BV174" s="4">
        <v>330</v>
      </c>
    </row>
    <row r="175" spans="1:74" x14ac:dyDescent="0.25">
      <c r="A175" s="5" t="s">
        <v>449</v>
      </c>
      <c r="B175" s="5" t="s">
        <v>445</v>
      </c>
      <c r="C175" s="5" t="s">
        <v>450</v>
      </c>
      <c r="D175" s="5" t="s">
        <v>422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>
        <v>4.2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>
        <v>1</v>
      </c>
      <c r="AO175" s="4"/>
      <c r="AP175" s="4"/>
      <c r="AQ175" s="4"/>
      <c r="AR175" s="4">
        <v>25.2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>
        <v>624</v>
      </c>
      <c r="BU175" s="4"/>
      <c r="BV175" s="4">
        <v>330</v>
      </c>
    </row>
    <row r="176" spans="1:74" x14ac:dyDescent="0.25">
      <c r="A176" s="3" t="s">
        <v>451</v>
      </c>
      <c r="B176" s="3" t="s">
        <v>452</v>
      </c>
      <c r="C176" s="3" t="s">
        <v>453</v>
      </c>
      <c r="D176" s="3" t="s">
        <v>422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>
        <v>1.7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>
        <v>1</v>
      </c>
      <c r="AP176" s="4"/>
      <c r="AQ176" s="4"/>
      <c r="AR176" s="4">
        <v>10.08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>
        <v>249.6</v>
      </c>
      <c r="BU176" s="4"/>
      <c r="BV176" s="4">
        <v>210</v>
      </c>
    </row>
    <row r="177" spans="1:74" x14ac:dyDescent="0.25">
      <c r="A177" s="5" t="s">
        <v>454</v>
      </c>
      <c r="B177" s="5" t="s">
        <v>452</v>
      </c>
      <c r="C177" s="5" t="s">
        <v>455</v>
      </c>
      <c r="D177" s="5" t="s">
        <v>422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>
        <v>2.1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>
        <v>1</v>
      </c>
      <c r="AP177" s="4"/>
      <c r="AQ177" s="4"/>
      <c r="AR177" s="4">
        <v>16.8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>
        <v>416</v>
      </c>
      <c r="BU177" s="4"/>
      <c r="BV177" s="4">
        <v>210</v>
      </c>
    </row>
    <row r="178" spans="1:74" x14ac:dyDescent="0.25">
      <c r="A178" s="3" t="s">
        <v>456</v>
      </c>
      <c r="B178" s="3" t="s">
        <v>452</v>
      </c>
      <c r="C178" s="3" t="s">
        <v>457</v>
      </c>
      <c r="D178" s="3" t="s">
        <v>422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>
        <v>4.2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>
        <v>1</v>
      </c>
      <c r="AP178" s="4"/>
      <c r="AQ178" s="4"/>
      <c r="AR178" s="4">
        <v>21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>
        <v>520</v>
      </c>
      <c r="BU178" s="4"/>
      <c r="BV178" s="4">
        <v>210</v>
      </c>
    </row>
    <row r="179" spans="1:74" x14ac:dyDescent="0.25">
      <c r="A179" s="5" t="s">
        <v>458</v>
      </c>
      <c r="B179" s="5" t="s">
        <v>175</v>
      </c>
      <c r="C179" s="5" t="s">
        <v>459</v>
      </c>
      <c r="D179" s="5" t="s">
        <v>422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>
        <v>0.39700000000000002</v>
      </c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>
        <v>2.3576000000000001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>
        <v>44.91</v>
      </c>
      <c r="BU179" s="4"/>
      <c r="BV179" s="4">
        <v>30</v>
      </c>
    </row>
    <row r="180" spans="1:74" x14ac:dyDescent="0.25">
      <c r="A180" s="3" t="s">
        <v>460</v>
      </c>
      <c r="B180" s="3" t="s">
        <v>175</v>
      </c>
      <c r="C180" s="3" t="s">
        <v>461</v>
      </c>
      <c r="D180" s="3" t="s">
        <v>422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>
        <v>0.69399999999999995</v>
      </c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>
        <v>4.7207999999999997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>
        <v>89.92</v>
      </c>
      <c r="BU180" s="4"/>
      <c r="BV180" s="4">
        <v>30</v>
      </c>
    </row>
    <row r="181" spans="1:74" x14ac:dyDescent="0.25">
      <c r="A181" s="5" t="s">
        <v>462</v>
      </c>
      <c r="B181" s="5" t="s">
        <v>175</v>
      </c>
      <c r="C181" s="5" t="s">
        <v>463</v>
      </c>
      <c r="D181" s="5" t="s">
        <v>422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>
        <v>1.2889999999999999</v>
      </c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>
        <v>9.4495000000000005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>
        <v>179.99</v>
      </c>
      <c r="BU181" s="4"/>
      <c r="BV181" s="4">
        <v>30</v>
      </c>
    </row>
    <row r="182" spans="1:74" x14ac:dyDescent="0.25">
      <c r="A182" s="3" t="s">
        <v>464</v>
      </c>
      <c r="B182" s="3" t="s">
        <v>175</v>
      </c>
      <c r="C182" s="3" t="s">
        <v>465</v>
      </c>
      <c r="D182" s="3" t="s">
        <v>422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>
        <v>0.7</v>
      </c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>
        <v>4.5359999999999996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>
        <v>86.4</v>
      </c>
      <c r="BU182" s="4"/>
      <c r="BV182" s="4">
        <v>30</v>
      </c>
    </row>
    <row r="183" spans="1:74" x14ac:dyDescent="0.25">
      <c r="A183" s="5" t="s">
        <v>466</v>
      </c>
      <c r="B183" s="5" t="s">
        <v>175</v>
      </c>
      <c r="C183" s="5" t="s">
        <v>467</v>
      </c>
      <c r="D183" s="5" t="s">
        <v>422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>
        <v>3.72</v>
      </c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>
        <v>19.958400000000001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>
        <v>380.16</v>
      </c>
      <c r="BU183" s="4"/>
      <c r="BV183" s="4">
        <v>30</v>
      </c>
    </row>
    <row r="184" spans="1:74" x14ac:dyDescent="0.25">
      <c r="A184" s="3" t="s">
        <v>468</v>
      </c>
      <c r="B184" s="3" t="s">
        <v>469</v>
      </c>
      <c r="C184" s="3" t="s">
        <v>470</v>
      </c>
      <c r="D184" s="3" t="s">
        <v>422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>
        <v>0.81100000000000005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>
        <v>10.5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>
        <v>240</v>
      </c>
      <c r="BU184" s="4"/>
      <c r="BV184" s="4">
        <v>20</v>
      </c>
    </row>
    <row r="185" spans="1:74" x14ac:dyDescent="0.25">
      <c r="A185" s="5" t="s">
        <v>471</v>
      </c>
      <c r="B185" s="5" t="s">
        <v>469</v>
      </c>
      <c r="C185" s="5" t="s">
        <v>472</v>
      </c>
      <c r="D185" s="5" t="s">
        <v>422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>
        <v>0.81100000000000005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>
        <v>10.5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>
        <v>300</v>
      </c>
      <c r="BS185" s="4"/>
      <c r="BT185" s="4">
        <v>240</v>
      </c>
      <c r="BU185" s="4"/>
      <c r="BV185" s="4">
        <v>20</v>
      </c>
    </row>
    <row r="186" spans="1:74" x14ac:dyDescent="0.25">
      <c r="A186" s="3" t="s">
        <v>473</v>
      </c>
      <c r="B186" s="3" t="s">
        <v>474</v>
      </c>
      <c r="C186" s="3" t="s">
        <v>475</v>
      </c>
      <c r="D186" s="3" t="s">
        <v>422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>
        <v>0.81100000000000005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>
        <v>10.5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>
        <v>240</v>
      </c>
      <c r="BU186" s="4"/>
      <c r="BV186" s="4">
        <v>20</v>
      </c>
    </row>
    <row r="187" spans="1:74" x14ac:dyDescent="0.25">
      <c r="A187" s="5" t="s">
        <v>476</v>
      </c>
      <c r="B187" s="5" t="s">
        <v>474</v>
      </c>
      <c r="C187" s="5" t="s">
        <v>477</v>
      </c>
      <c r="D187" s="5" t="s">
        <v>422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>
        <v>0.81100000000000005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>
        <v>10.5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>
        <v>240</v>
      </c>
      <c r="BU187" s="4"/>
      <c r="BV187" s="4">
        <v>60</v>
      </c>
    </row>
    <row r="188" spans="1:74" x14ac:dyDescent="0.25">
      <c r="A188" s="3" t="s">
        <v>478</v>
      </c>
      <c r="B188" s="3" t="s">
        <v>479</v>
      </c>
      <c r="C188" s="3" t="s">
        <v>480</v>
      </c>
      <c r="D188" s="3" t="s">
        <v>422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>
        <v>0.5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>
        <v>5.04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>
        <v>144</v>
      </c>
      <c r="BS188" s="4"/>
      <c r="BT188" s="4">
        <v>115.2</v>
      </c>
      <c r="BU188" s="4"/>
      <c r="BV188" s="4">
        <v>60</v>
      </c>
    </row>
    <row r="189" spans="1:74" x14ac:dyDescent="0.25">
      <c r="A189" s="5" t="s">
        <v>481</v>
      </c>
      <c r="B189" s="5" t="s">
        <v>482</v>
      </c>
      <c r="C189" s="5" t="s">
        <v>483</v>
      </c>
      <c r="D189" s="5" t="s">
        <v>422</v>
      </c>
      <c r="E189" s="4"/>
      <c r="F189" s="4"/>
      <c r="G189" s="4"/>
      <c r="H189" s="4"/>
      <c r="I189" s="4"/>
      <c r="J189" s="4"/>
      <c r="K189" s="4"/>
      <c r="L189" s="4"/>
      <c r="M189" s="4"/>
      <c r="N189" s="4">
        <v>2.1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>
        <v>16</v>
      </c>
      <c r="AN189" s="4"/>
      <c r="AO189" s="4"/>
      <c r="AP189" s="4"/>
      <c r="AQ189" s="4"/>
      <c r="AR189" s="4">
        <v>42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>
        <v>960</v>
      </c>
      <c r="BU189" s="4"/>
      <c r="BV189" s="4">
        <v>318</v>
      </c>
    </row>
    <row r="190" spans="1:74" x14ac:dyDescent="0.25">
      <c r="A190" s="3" t="s">
        <v>484</v>
      </c>
      <c r="B190" s="3" t="s">
        <v>482</v>
      </c>
      <c r="C190" s="3" t="s">
        <v>485</v>
      </c>
      <c r="D190" s="3" t="s">
        <v>422</v>
      </c>
      <c r="E190" s="4"/>
      <c r="F190" s="4"/>
      <c r="G190" s="4"/>
      <c r="H190" s="4"/>
      <c r="I190" s="4"/>
      <c r="J190" s="4"/>
      <c r="K190" s="4"/>
      <c r="L190" s="4"/>
      <c r="M190" s="4"/>
      <c r="N190" s="4">
        <v>2.1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>
        <v>20</v>
      </c>
      <c r="AN190" s="4"/>
      <c r="AO190" s="4"/>
      <c r="AP190" s="4"/>
      <c r="AQ190" s="4"/>
      <c r="AR190" s="4">
        <v>63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>
        <v>1440</v>
      </c>
      <c r="BU190" s="4"/>
      <c r="BV190" s="4">
        <v>390</v>
      </c>
    </row>
    <row r="191" spans="1:74" x14ac:dyDescent="0.25">
      <c r="A191" s="5" t="s">
        <v>486</v>
      </c>
      <c r="B191" s="5" t="s">
        <v>482</v>
      </c>
      <c r="C191" s="5" t="s">
        <v>487</v>
      </c>
      <c r="D191" s="5" t="s">
        <v>422</v>
      </c>
      <c r="E191" s="4"/>
      <c r="F191" s="4"/>
      <c r="G191" s="4"/>
      <c r="H191" s="4"/>
      <c r="I191" s="4"/>
      <c r="J191" s="4"/>
      <c r="K191" s="4"/>
      <c r="L191" s="4"/>
      <c r="M191" s="4"/>
      <c r="N191" s="4">
        <v>2.6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>
        <v>22</v>
      </c>
      <c r="AN191" s="4"/>
      <c r="AO191" s="4"/>
      <c r="AP191" s="4"/>
      <c r="AQ191" s="4"/>
      <c r="AR191" s="4">
        <v>78.75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>
        <v>1800</v>
      </c>
      <c r="BU191" s="4"/>
      <c r="BV191" s="4">
        <v>426</v>
      </c>
    </row>
    <row r="192" spans="1:74" x14ac:dyDescent="0.25">
      <c r="A192" s="3" t="s">
        <v>488</v>
      </c>
      <c r="B192" s="3" t="s">
        <v>482</v>
      </c>
      <c r="C192" s="3" t="s">
        <v>489</v>
      </c>
      <c r="D192" s="3" t="s">
        <v>422</v>
      </c>
      <c r="E192" s="4"/>
      <c r="F192" s="4"/>
      <c r="G192" s="4"/>
      <c r="H192" s="4"/>
      <c r="I192" s="4"/>
      <c r="J192" s="4"/>
      <c r="K192" s="4"/>
      <c r="L192" s="4"/>
      <c r="M192" s="4"/>
      <c r="N192" s="4">
        <v>4.0999999999999996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>
        <v>26</v>
      </c>
      <c r="AN192" s="4"/>
      <c r="AO192" s="4"/>
      <c r="AP192" s="4"/>
      <c r="AQ192" s="4"/>
      <c r="AR192" s="4">
        <v>105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>
        <v>2400</v>
      </c>
      <c r="BU192" s="4"/>
      <c r="BV192" s="4">
        <v>498</v>
      </c>
    </row>
    <row r="193" spans="1:74" x14ac:dyDescent="0.25">
      <c r="A193" s="5" t="s">
        <v>490</v>
      </c>
      <c r="B193" s="5" t="s">
        <v>482</v>
      </c>
      <c r="C193" s="5" t="s">
        <v>491</v>
      </c>
      <c r="D193" s="5" t="s">
        <v>422</v>
      </c>
      <c r="E193" s="4"/>
      <c r="F193" s="4"/>
      <c r="G193" s="4"/>
      <c r="H193" s="4"/>
      <c r="I193" s="4"/>
      <c r="J193" s="4"/>
      <c r="K193" s="4"/>
      <c r="L193" s="4"/>
      <c r="M193" s="4"/>
      <c r="N193" s="4">
        <v>5.0999999999999996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>
        <v>30</v>
      </c>
      <c r="AN193" s="4"/>
      <c r="AO193" s="4"/>
      <c r="AP193" s="4"/>
      <c r="AQ193" s="4"/>
      <c r="AR193" s="4">
        <v>131.25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>
        <v>3000</v>
      </c>
      <c r="BU193" s="4"/>
      <c r="BV193" s="4">
        <v>570</v>
      </c>
    </row>
    <row r="194" spans="1:74" x14ac:dyDescent="0.25">
      <c r="A194" s="3" t="s">
        <v>492</v>
      </c>
      <c r="B194" s="3" t="s">
        <v>493</v>
      </c>
      <c r="C194" s="3" t="s">
        <v>494</v>
      </c>
      <c r="D194" s="3" t="s">
        <v>422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>
        <v>1.1000000000000001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>
        <v>15.75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>
        <v>450</v>
      </c>
      <c r="BU194" s="4"/>
      <c r="BV194" s="4">
        <v>130</v>
      </c>
    </row>
    <row r="195" spans="1:74" x14ac:dyDescent="0.25">
      <c r="A195" s="5" t="s">
        <v>495</v>
      </c>
      <c r="B195" s="5" t="s">
        <v>493</v>
      </c>
      <c r="C195" s="5" t="s">
        <v>496</v>
      </c>
      <c r="D195" s="5" t="s">
        <v>422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>
        <v>2.35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>
        <v>35.4375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>
        <v>1012.5</v>
      </c>
      <c r="BU195" s="4"/>
      <c r="BV195" s="4">
        <v>180</v>
      </c>
    </row>
    <row r="196" spans="1:74" x14ac:dyDescent="0.25">
      <c r="A196" s="3" t="s">
        <v>497</v>
      </c>
      <c r="B196" s="3" t="s">
        <v>498</v>
      </c>
      <c r="C196" s="3" t="s">
        <v>427</v>
      </c>
      <c r="D196" s="3" t="s">
        <v>422</v>
      </c>
      <c r="E196" s="4"/>
      <c r="F196" s="4"/>
      <c r="G196" s="4"/>
      <c r="H196" s="4"/>
      <c r="I196" s="4"/>
      <c r="J196" s="4"/>
      <c r="K196" s="4"/>
      <c r="L196" s="4"/>
      <c r="M196" s="4"/>
      <c r="N196" s="4">
        <v>0.76670000000000005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>
        <v>12</v>
      </c>
      <c r="AN196" s="4"/>
      <c r="AO196" s="4"/>
      <c r="AP196" s="4"/>
      <c r="AQ196" s="4"/>
      <c r="AR196" s="4">
        <v>21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>
        <v>480</v>
      </c>
      <c r="BU196" s="4"/>
      <c r="BV196" s="4">
        <v>246</v>
      </c>
    </row>
    <row r="197" spans="1:74" x14ac:dyDescent="0.25">
      <c r="A197" s="5" t="s">
        <v>499</v>
      </c>
      <c r="B197" s="5" t="s">
        <v>498</v>
      </c>
      <c r="C197" s="5" t="s">
        <v>500</v>
      </c>
      <c r="D197" s="5" t="s">
        <v>422</v>
      </c>
      <c r="E197" s="4"/>
      <c r="F197" s="4"/>
      <c r="G197" s="4"/>
      <c r="H197" s="4"/>
      <c r="I197" s="4"/>
      <c r="J197" s="4"/>
      <c r="K197" s="4"/>
      <c r="L197" s="4"/>
      <c r="M197" s="4"/>
      <c r="N197" s="4">
        <v>2.1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>
        <v>20</v>
      </c>
      <c r="AN197" s="4"/>
      <c r="AO197" s="4"/>
      <c r="AP197" s="4"/>
      <c r="AQ197" s="4"/>
      <c r="AR197" s="4">
        <v>63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>
        <v>1440</v>
      </c>
      <c r="BU197" s="4"/>
      <c r="BV197" s="4">
        <v>390</v>
      </c>
    </row>
    <row r="198" spans="1:74" x14ac:dyDescent="0.25">
      <c r="A198" s="3" t="s">
        <v>501</v>
      </c>
      <c r="B198" s="3" t="s">
        <v>498</v>
      </c>
      <c r="C198" s="3" t="s">
        <v>502</v>
      </c>
      <c r="D198" s="3" t="s">
        <v>422</v>
      </c>
      <c r="E198" s="4"/>
      <c r="F198" s="4"/>
      <c r="G198" s="4"/>
      <c r="H198" s="4"/>
      <c r="I198" s="4"/>
      <c r="J198" s="4"/>
      <c r="K198" s="4"/>
      <c r="L198" s="4"/>
      <c r="M198" s="4"/>
      <c r="N198" s="4">
        <v>4.0999999999999996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>
        <v>28</v>
      </c>
      <c r="AN198" s="4"/>
      <c r="AO198" s="4"/>
      <c r="AP198" s="4"/>
      <c r="AQ198" s="4"/>
      <c r="AR198" s="4">
        <v>126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>
        <v>2880</v>
      </c>
      <c r="BU198" s="4"/>
      <c r="BV198" s="4">
        <v>534</v>
      </c>
    </row>
    <row r="199" spans="1:74" x14ac:dyDescent="0.25">
      <c r="A199" s="5" t="s">
        <v>503</v>
      </c>
      <c r="B199" s="5" t="s">
        <v>498</v>
      </c>
      <c r="C199" s="5" t="s">
        <v>504</v>
      </c>
      <c r="D199" s="5" t="s">
        <v>422</v>
      </c>
      <c r="E199" s="4"/>
      <c r="F199" s="4"/>
      <c r="G199" s="4"/>
      <c r="H199" s="4"/>
      <c r="I199" s="4"/>
      <c r="J199" s="4"/>
      <c r="K199" s="4"/>
      <c r="L199" s="4"/>
      <c r="M199" s="4"/>
      <c r="N199" s="4">
        <v>6.1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>
        <v>36</v>
      </c>
      <c r="AN199" s="4"/>
      <c r="AO199" s="4"/>
      <c r="AP199" s="4"/>
      <c r="AQ199" s="4"/>
      <c r="AR199" s="4">
        <v>189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>
        <v>4320</v>
      </c>
      <c r="BU199" s="4"/>
      <c r="BV199" s="4">
        <v>678</v>
      </c>
    </row>
    <row r="200" spans="1:74" x14ac:dyDescent="0.25">
      <c r="A200" s="3" t="s">
        <v>505</v>
      </c>
      <c r="B200" s="3" t="s">
        <v>506</v>
      </c>
      <c r="C200" s="3" t="s">
        <v>507</v>
      </c>
      <c r="D200" s="3" t="s">
        <v>422</v>
      </c>
      <c r="E200" s="4"/>
      <c r="F200" s="4"/>
      <c r="G200" s="4"/>
      <c r="H200" s="4"/>
      <c r="I200" s="4"/>
      <c r="J200" s="4"/>
      <c r="K200" s="4"/>
      <c r="L200" s="4"/>
      <c r="M200" s="4"/>
      <c r="N200" s="4">
        <v>1.02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>
        <v>4</v>
      </c>
      <c r="AN200" s="4"/>
      <c r="AO200" s="4"/>
      <c r="AP200" s="4"/>
      <c r="AQ200" s="4"/>
      <c r="AR200" s="4">
        <v>21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>
        <v>480</v>
      </c>
      <c r="BU200" s="4"/>
      <c r="BV200" s="4">
        <v>82</v>
      </c>
    </row>
    <row r="201" spans="1:74" x14ac:dyDescent="0.25">
      <c r="A201" s="5" t="s">
        <v>508</v>
      </c>
      <c r="B201" s="5" t="s">
        <v>509</v>
      </c>
      <c r="C201" s="5" t="s">
        <v>510</v>
      </c>
      <c r="D201" s="5" t="s">
        <v>511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>
        <v>1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>
        <v>0.02</v>
      </c>
      <c r="AW201" s="4">
        <v>0.18</v>
      </c>
      <c r="AX201" s="4">
        <v>0.9</v>
      </c>
      <c r="AY201" s="4"/>
      <c r="AZ201" s="4"/>
      <c r="BA201" s="4"/>
      <c r="BB201" s="4"/>
      <c r="BC201" s="4"/>
      <c r="BD201" s="4"/>
      <c r="BE201" s="4">
        <v>4.5</v>
      </c>
      <c r="BF201" s="4">
        <v>3</v>
      </c>
      <c r="BG201" s="4">
        <v>25</v>
      </c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</row>
    <row r="202" spans="1:74" x14ac:dyDescent="0.25">
      <c r="A202" s="3" t="s">
        <v>512</v>
      </c>
      <c r="B202" s="3" t="s">
        <v>509</v>
      </c>
      <c r="C202" s="3" t="s">
        <v>513</v>
      </c>
      <c r="D202" s="3" t="s">
        <v>511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>
        <v>1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>
        <v>0.12470000000000001</v>
      </c>
      <c r="AW202" s="4">
        <v>1.1227</v>
      </c>
      <c r="AX202" s="4">
        <v>5.6132999999999997</v>
      </c>
      <c r="AY202" s="4"/>
      <c r="AZ202" s="4"/>
      <c r="BA202" s="4"/>
      <c r="BB202" s="4"/>
      <c r="BC202" s="4"/>
      <c r="BD202" s="4"/>
      <c r="BE202" s="4">
        <v>28.07</v>
      </c>
      <c r="BF202" s="4">
        <v>18.71</v>
      </c>
      <c r="BG202" s="4">
        <v>25</v>
      </c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</row>
    <row r="203" spans="1:74" x14ac:dyDescent="0.25">
      <c r="A203" s="5" t="s">
        <v>514</v>
      </c>
      <c r="B203" s="5" t="s">
        <v>509</v>
      </c>
      <c r="C203" s="5" t="s">
        <v>515</v>
      </c>
      <c r="D203" s="5" t="s">
        <v>511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>
        <v>1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>
        <v>0.2495</v>
      </c>
      <c r="AW203" s="4">
        <v>2.2452999999999999</v>
      </c>
      <c r="AX203" s="4">
        <v>11.226599999999999</v>
      </c>
      <c r="AY203" s="4"/>
      <c r="AZ203" s="4"/>
      <c r="BA203" s="4"/>
      <c r="BB203" s="4"/>
      <c r="BC203" s="4"/>
      <c r="BD203" s="4"/>
      <c r="BE203" s="4">
        <v>56.13</v>
      </c>
      <c r="BF203" s="4">
        <v>37.42</v>
      </c>
      <c r="BG203" s="4">
        <v>25</v>
      </c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</row>
    <row r="204" spans="1:74" x14ac:dyDescent="0.25">
      <c r="A204" s="3" t="s">
        <v>516</v>
      </c>
      <c r="B204" s="3" t="s">
        <v>509</v>
      </c>
      <c r="C204" s="3" t="s">
        <v>517</v>
      </c>
      <c r="D204" s="3" t="s">
        <v>511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>
        <v>1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>
        <v>0.1447</v>
      </c>
      <c r="AW204" s="4">
        <v>1.3027</v>
      </c>
      <c r="AX204" s="4">
        <v>6.5133000000000001</v>
      </c>
      <c r="AY204" s="4"/>
      <c r="AZ204" s="4"/>
      <c r="BA204" s="4"/>
      <c r="BB204" s="4"/>
      <c r="BC204" s="4"/>
      <c r="BD204" s="4"/>
      <c r="BE204" s="4">
        <v>32.57</v>
      </c>
      <c r="BF204" s="4">
        <v>21.71</v>
      </c>
      <c r="BG204" s="4">
        <v>50</v>
      </c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</row>
    <row r="205" spans="1:74" x14ac:dyDescent="0.25">
      <c r="A205" s="5" t="s">
        <v>518</v>
      </c>
      <c r="B205" s="5" t="s">
        <v>509</v>
      </c>
      <c r="C205" s="5" t="s">
        <v>519</v>
      </c>
      <c r="D205" s="5" t="s">
        <v>511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>
        <v>1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>
        <v>0.26950000000000002</v>
      </c>
      <c r="AW205" s="4">
        <v>2.4253</v>
      </c>
      <c r="AX205" s="4">
        <v>12.1266</v>
      </c>
      <c r="AY205" s="4"/>
      <c r="AZ205" s="4"/>
      <c r="BA205" s="4"/>
      <c r="BB205" s="4"/>
      <c r="BC205" s="4"/>
      <c r="BD205" s="4"/>
      <c r="BE205" s="4">
        <v>60.63</v>
      </c>
      <c r="BF205" s="4">
        <v>40.42</v>
      </c>
      <c r="BG205" s="4">
        <v>50</v>
      </c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</row>
    <row r="206" spans="1:74" x14ac:dyDescent="0.25">
      <c r="A206" s="3" t="s">
        <v>520</v>
      </c>
      <c r="B206" s="3" t="s">
        <v>509</v>
      </c>
      <c r="C206" s="3" t="s">
        <v>521</v>
      </c>
      <c r="D206" s="3" t="s">
        <v>511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>
        <v>1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>
        <v>0.02</v>
      </c>
      <c r="AW206" s="4">
        <v>0.22500000000000001</v>
      </c>
      <c r="AX206" s="4">
        <v>0.9</v>
      </c>
      <c r="AY206" s="4"/>
      <c r="AZ206" s="4"/>
      <c r="BA206" s="4"/>
      <c r="BB206" s="4"/>
      <c r="BC206" s="4"/>
      <c r="BD206" s="4"/>
      <c r="BE206" s="4">
        <v>4.5</v>
      </c>
      <c r="BF206" s="4">
        <v>3</v>
      </c>
      <c r="BG206" s="4">
        <v>25</v>
      </c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</row>
    <row r="207" spans="1:74" x14ac:dyDescent="0.25">
      <c r="A207" s="5" t="s">
        <v>522</v>
      </c>
      <c r="B207" s="5" t="s">
        <v>509</v>
      </c>
      <c r="C207" s="5" t="s">
        <v>523</v>
      </c>
      <c r="D207" s="5" t="s">
        <v>511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>
        <v>1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>
        <v>0.12470000000000001</v>
      </c>
      <c r="AW207" s="4">
        <v>1.4033</v>
      </c>
      <c r="AX207" s="4">
        <v>5.6132999999999997</v>
      </c>
      <c r="AY207" s="4"/>
      <c r="AZ207" s="4"/>
      <c r="BA207" s="4"/>
      <c r="BB207" s="4"/>
      <c r="BC207" s="4"/>
      <c r="BD207" s="4"/>
      <c r="BE207" s="4">
        <v>28.07</v>
      </c>
      <c r="BF207" s="4">
        <v>18.71</v>
      </c>
      <c r="BG207" s="4">
        <v>25</v>
      </c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</row>
    <row r="208" spans="1:74" x14ac:dyDescent="0.25">
      <c r="A208" s="3" t="s">
        <v>524</v>
      </c>
      <c r="B208" s="3" t="s">
        <v>509</v>
      </c>
      <c r="C208" s="3" t="s">
        <v>525</v>
      </c>
      <c r="D208" s="3" t="s">
        <v>511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>
        <v>1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>
        <v>0.2495</v>
      </c>
      <c r="AW208" s="4">
        <v>2.8066</v>
      </c>
      <c r="AX208" s="4">
        <v>11.226599999999999</v>
      </c>
      <c r="AY208" s="4"/>
      <c r="AZ208" s="4"/>
      <c r="BA208" s="4"/>
      <c r="BB208" s="4"/>
      <c r="BC208" s="4"/>
      <c r="BD208" s="4"/>
      <c r="BE208" s="4">
        <v>56.13</v>
      </c>
      <c r="BF208" s="4">
        <v>37.42</v>
      </c>
      <c r="BG208" s="4">
        <v>25</v>
      </c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</row>
    <row r="209" spans="1:74" x14ac:dyDescent="0.25">
      <c r="A209" s="5" t="s">
        <v>526</v>
      </c>
      <c r="B209" s="5" t="s">
        <v>509</v>
      </c>
      <c r="C209" s="5" t="s">
        <v>527</v>
      </c>
      <c r="D209" s="5" t="s">
        <v>511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>
        <v>1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>
        <v>0.1447</v>
      </c>
      <c r="AW209" s="4">
        <v>1.6283000000000001</v>
      </c>
      <c r="AX209" s="4">
        <v>6.5133000000000001</v>
      </c>
      <c r="AY209" s="4"/>
      <c r="AZ209" s="4"/>
      <c r="BA209" s="4"/>
      <c r="BB209" s="4"/>
      <c r="BC209" s="4"/>
      <c r="BD209" s="4"/>
      <c r="BE209" s="4">
        <v>32.57</v>
      </c>
      <c r="BF209" s="4">
        <v>21.71</v>
      </c>
      <c r="BG209" s="4">
        <v>50</v>
      </c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</row>
    <row r="210" spans="1:74" x14ac:dyDescent="0.25">
      <c r="A210" s="3" t="s">
        <v>528</v>
      </c>
      <c r="B210" s="3" t="s">
        <v>509</v>
      </c>
      <c r="C210" s="3" t="s">
        <v>529</v>
      </c>
      <c r="D210" s="3" t="s">
        <v>511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>
        <v>1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>
        <v>0.26950000000000002</v>
      </c>
      <c r="AW210" s="4">
        <v>3.0316000000000001</v>
      </c>
      <c r="AX210" s="4">
        <v>12.1266</v>
      </c>
      <c r="AY210" s="4"/>
      <c r="AZ210" s="4"/>
      <c r="BA210" s="4"/>
      <c r="BB210" s="4"/>
      <c r="BC210" s="4"/>
      <c r="BD210" s="4"/>
      <c r="BE210" s="4">
        <v>60.63</v>
      </c>
      <c r="BF210" s="4">
        <v>40.42</v>
      </c>
      <c r="BG210" s="4">
        <v>50</v>
      </c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</row>
    <row r="211" spans="1:74" x14ac:dyDescent="0.25">
      <c r="A211" s="5" t="s">
        <v>530</v>
      </c>
      <c r="B211" s="5" t="s">
        <v>509</v>
      </c>
      <c r="C211" s="5" t="s">
        <v>531</v>
      </c>
      <c r="D211" s="5" t="s">
        <v>511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>
        <v>1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>
        <v>6</v>
      </c>
      <c r="AU211" s="4">
        <v>0.3</v>
      </c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>
        <v>25</v>
      </c>
      <c r="BK211" s="4">
        <v>1.5</v>
      </c>
      <c r="BL211" s="4">
        <v>30</v>
      </c>
      <c r="BM211" s="4"/>
      <c r="BN211" s="4"/>
      <c r="BO211" s="4"/>
      <c r="BP211" s="4"/>
      <c r="BQ211" s="4"/>
      <c r="BR211" s="4"/>
      <c r="BS211" s="4"/>
      <c r="BT211" s="4"/>
      <c r="BU211" s="4"/>
      <c r="BV211" s="4"/>
    </row>
    <row r="212" spans="1:74" x14ac:dyDescent="0.25">
      <c r="A212" s="3" t="s">
        <v>532</v>
      </c>
      <c r="B212" s="3" t="s">
        <v>509</v>
      </c>
      <c r="C212" s="3" t="s">
        <v>533</v>
      </c>
      <c r="D212" s="3" t="s">
        <v>511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>
        <v>1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>
        <v>12</v>
      </c>
      <c r="AU212" s="4">
        <v>0.6</v>
      </c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>
        <v>30</v>
      </c>
      <c r="BK212" s="4">
        <v>3</v>
      </c>
      <c r="BL212" s="4">
        <v>30</v>
      </c>
      <c r="BM212" s="4"/>
      <c r="BN212" s="4"/>
      <c r="BO212" s="4"/>
      <c r="BP212" s="4"/>
      <c r="BQ212" s="4"/>
      <c r="BR212" s="4"/>
      <c r="BS212" s="4"/>
      <c r="BT212" s="4"/>
      <c r="BU212" s="4"/>
      <c r="BV212" s="4"/>
    </row>
    <row r="213" spans="1:74" x14ac:dyDescent="0.25">
      <c r="A213" s="5" t="s">
        <v>534</v>
      </c>
      <c r="B213" s="5" t="s">
        <v>509</v>
      </c>
      <c r="C213" s="5" t="s">
        <v>535</v>
      </c>
      <c r="D213" s="5" t="s">
        <v>511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>
        <v>1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>
        <v>18</v>
      </c>
      <c r="AU213" s="4">
        <v>0.9</v>
      </c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>
        <v>35</v>
      </c>
      <c r="BK213" s="4">
        <v>4.5</v>
      </c>
      <c r="BL213" s="4">
        <v>30</v>
      </c>
      <c r="BM213" s="4"/>
      <c r="BN213" s="4"/>
      <c r="BO213" s="4"/>
      <c r="BP213" s="4"/>
      <c r="BQ213" s="4"/>
      <c r="BR213" s="4"/>
      <c r="BS213" s="4"/>
      <c r="BT213" s="4"/>
      <c r="BU213" s="4"/>
      <c r="BV213" s="4"/>
    </row>
    <row r="214" spans="1:74" x14ac:dyDescent="0.25">
      <c r="A214" s="3" t="s">
        <v>536</v>
      </c>
      <c r="B214" s="3" t="s">
        <v>509</v>
      </c>
      <c r="C214" s="3" t="s">
        <v>537</v>
      </c>
      <c r="D214" s="3" t="s">
        <v>511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>
        <v>1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>
        <v>12</v>
      </c>
      <c r="AU214" s="4">
        <v>0.3</v>
      </c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>
        <v>30</v>
      </c>
      <c r="BK214" s="4">
        <v>1.5</v>
      </c>
      <c r="BL214" s="4">
        <v>30</v>
      </c>
      <c r="BM214" s="4"/>
      <c r="BN214" s="4"/>
      <c r="BO214" s="4"/>
      <c r="BP214" s="4"/>
      <c r="BQ214" s="4"/>
      <c r="BR214" s="4"/>
      <c r="BS214" s="4"/>
      <c r="BT214" s="4"/>
      <c r="BU214" s="4"/>
      <c r="BV214" s="4"/>
    </row>
    <row r="215" spans="1:74" x14ac:dyDescent="0.25">
      <c r="A215" s="5" t="s">
        <v>538</v>
      </c>
      <c r="B215" s="5" t="s">
        <v>509</v>
      </c>
      <c r="C215" s="5" t="s">
        <v>539</v>
      </c>
      <c r="D215" s="5" t="s">
        <v>511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>
        <v>1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>
        <v>18</v>
      </c>
      <c r="AU215" s="4">
        <v>0.6</v>
      </c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>
        <v>35</v>
      </c>
      <c r="BK215" s="4">
        <v>3</v>
      </c>
      <c r="BL215" s="4">
        <v>30</v>
      </c>
      <c r="BM215" s="4"/>
      <c r="BN215" s="4"/>
      <c r="BO215" s="4"/>
      <c r="BP215" s="4"/>
      <c r="BQ215" s="4"/>
      <c r="BR215" s="4"/>
      <c r="BS215" s="4"/>
      <c r="BT215" s="4"/>
      <c r="BU215" s="4"/>
      <c r="BV215" s="4"/>
    </row>
    <row r="216" spans="1:74" x14ac:dyDescent="0.25">
      <c r="A216" s="3" t="s">
        <v>540</v>
      </c>
      <c r="B216" s="3" t="s">
        <v>509</v>
      </c>
      <c r="C216" s="3" t="s">
        <v>541</v>
      </c>
      <c r="D216" s="3" t="s">
        <v>511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>
        <v>1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>
        <v>24</v>
      </c>
      <c r="AU216" s="4">
        <v>0.9</v>
      </c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>
        <v>40</v>
      </c>
      <c r="BK216" s="4">
        <v>4.5</v>
      </c>
      <c r="BL216" s="4">
        <v>30</v>
      </c>
      <c r="BM216" s="4"/>
      <c r="BN216" s="4"/>
      <c r="BO216" s="4"/>
      <c r="BP216" s="4"/>
      <c r="BQ216" s="4"/>
      <c r="BR216" s="4"/>
      <c r="BS216" s="4"/>
      <c r="BT216" s="4"/>
      <c r="BU216" s="4"/>
      <c r="BV216" s="4"/>
    </row>
    <row r="217" spans="1:74" x14ac:dyDescent="0.25">
      <c r="A217" s="5" t="s">
        <v>542</v>
      </c>
      <c r="B217" s="5" t="s">
        <v>509</v>
      </c>
      <c r="C217" s="5" t="s">
        <v>543</v>
      </c>
      <c r="D217" s="5" t="s">
        <v>511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>
        <v>1</v>
      </c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>
        <v>8.5199999999999998E-2</v>
      </c>
      <c r="AZ217" s="4">
        <v>0.74839999999999995</v>
      </c>
      <c r="BA217" s="4"/>
      <c r="BB217" s="4"/>
      <c r="BC217" s="4"/>
      <c r="BD217" s="4"/>
      <c r="BE217" s="4"/>
      <c r="BF217" s="4"/>
      <c r="BG217" s="4">
        <v>60</v>
      </c>
      <c r="BH217" s="4">
        <v>22.45</v>
      </c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</row>
    <row r="218" spans="1:74" x14ac:dyDescent="0.25">
      <c r="A218" s="3" t="s">
        <v>544</v>
      </c>
      <c r="B218" s="3" t="s">
        <v>509</v>
      </c>
      <c r="C218" s="3" t="s">
        <v>545</v>
      </c>
      <c r="D218" s="3" t="s">
        <v>511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>
        <v>1</v>
      </c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>
        <v>0.15040000000000001</v>
      </c>
      <c r="AZ218" s="4">
        <v>1.4968999999999999</v>
      </c>
      <c r="BA218" s="4"/>
      <c r="BB218" s="4"/>
      <c r="BC218" s="4"/>
      <c r="BD218" s="4"/>
      <c r="BE218" s="4"/>
      <c r="BF218" s="4"/>
      <c r="BG218" s="4">
        <v>60</v>
      </c>
      <c r="BH218" s="4">
        <v>44.91</v>
      </c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</row>
    <row r="219" spans="1:74" x14ac:dyDescent="0.25">
      <c r="A219" s="5" t="s">
        <v>546</v>
      </c>
      <c r="B219" s="5" t="s">
        <v>509</v>
      </c>
      <c r="C219" s="5" t="s">
        <v>547</v>
      </c>
      <c r="D219" s="5" t="s">
        <v>511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>
        <v>1</v>
      </c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>
        <v>0.15040000000000001</v>
      </c>
      <c r="AZ219" s="4">
        <v>1.4968999999999999</v>
      </c>
      <c r="BA219" s="4"/>
      <c r="BB219" s="4"/>
      <c r="BC219" s="4"/>
      <c r="BD219" s="4"/>
      <c r="BE219" s="4"/>
      <c r="BF219" s="4"/>
      <c r="BG219" s="4">
        <v>120</v>
      </c>
      <c r="BH219" s="4">
        <v>44.91</v>
      </c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</row>
    <row r="220" spans="1:74" x14ac:dyDescent="0.25">
      <c r="A220" s="3" t="s">
        <v>548</v>
      </c>
      <c r="B220" s="3" t="s">
        <v>509</v>
      </c>
      <c r="C220" s="3" t="s">
        <v>549</v>
      </c>
      <c r="D220" s="3" t="s">
        <v>511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>
        <v>1</v>
      </c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>
        <v>0.28079999999999999</v>
      </c>
      <c r="AZ220" s="4">
        <v>2.9937999999999998</v>
      </c>
      <c r="BA220" s="4"/>
      <c r="BB220" s="4"/>
      <c r="BC220" s="4"/>
      <c r="BD220" s="4"/>
      <c r="BE220" s="4"/>
      <c r="BF220" s="4"/>
      <c r="BG220" s="4">
        <v>120</v>
      </c>
      <c r="BH220" s="4">
        <v>89.81</v>
      </c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</row>
    <row r="221" spans="1:74" x14ac:dyDescent="0.25">
      <c r="A221" s="5" t="s">
        <v>550</v>
      </c>
      <c r="B221" s="5" t="s">
        <v>551</v>
      </c>
      <c r="C221" s="5" t="s">
        <v>552</v>
      </c>
      <c r="D221" s="5" t="s">
        <v>511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>
        <v>1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>
        <v>0.02</v>
      </c>
      <c r="AW221" s="4">
        <v>0.22500000000000001</v>
      </c>
      <c r="AX221" s="4">
        <v>0.9</v>
      </c>
      <c r="AY221" s="4"/>
      <c r="AZ221" s="4"/>
      <c r="BA221" s="4"/>
      <c r="BB221" s="4"/>
      <c r="BC221" s="4"/>
      <c r="BD221" s="4"/>
      <c r="BE221" s="4">
        <v>4.5</v>
      </c>
      <c r="BF221" s="4">
        <v>3</v>
      </c>
      <c r="BG221" s="4">
        <v>25</v>
      </c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</row>
    <row r="222" spans="1:74" x14ac:dyDescent="0.25">
      <c r="A222" s="3" t="s">
        <v>553</v>
      </c>
      <c r="B222" s="3" t="s">
        <v>551</v>
      </c>
      <c r="C222" s="3" t="s">
        <v>554</v>
      </c>
      <c r="D222" s="3" t="s">
        <v>511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>
        <v>1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>
        <v>0.1447</v>
      </c>
      <c r="AW222" s="4">
        <v>1.6283000000000001</v>
      </c>
      <c r="AX222" s="4">
        <v>6.5133000000000001</v>
      </c>
      <c r="AY222" s="4"/>
      <c r="AZ222" s="4"/>
      <c r="BA222" s="4"/>
      <c r="BB222" s="4"/>
      <c r="BC222" s="4"/>
      <c r="BD222" s="4"/>
      <c r="BE222" s="4">
        <v>32.57</v>
      </c>
      <c r="BF222" s="4">
        <v>21.71</v>
      </c>
      <c r="BG222" s="4">
        <v>50</v>
      </c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</row>
    <row r="223" spans="1:74" x14ac:dyDescent="0.25">
      <c r="A223" s="5" t="s">
        <v>555</v>
      </c>
      <c r="B223" s="5" t="s">
        <v>551</v>
      </c>
      <c r="C223" s="5" t="s">
        <v>556</v>
      </c>
      <c r="D223" s="5" t="s">
        <v>511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>
        <v>1</v>
      </c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>
        <v>0.26950000000000002</v>
      </c>
      <c r="AW223" s="4">
        <v>3.0316000000000001</v>
      </c>
      <c r="AX223" s="4">
        <v>12.1266</v>
      </c>
      <c r="AY223" s="4"/>
      <c r="AZ223" s="4"/>
      <c r="BA223" s="4"/>
      <c r="BB223" s="4"/>
      <c r="BC223" s="4"/>
      <c r="BD223" s="4"/>
      <c r="BE223" s="4">
        <v>60.63</v>
      </c>
      <c r="BF223" s="4">
        <v>40.42</v>
      </c>
      <c r="BG223" s="4">
        <v>50</v>
      </c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</row>
    <row r="224" spans="1:74" x14ac:dyDescent="0.25">
      <c r="A224" s="3" t="s">
        <v>557</v>
      </c>
      <c r="B224" s="3" t="s">
        <v>551</v>
      </c>
      <c r="C224" s="3" t="s">
        <v>558</v>
      </c>
      <c r="D224" s="3" t="s">
        <v>511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>
        <v>1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>
        <v>6</v>
      </c>
      <c r="AU224" s="4">
        <v>0.3</v>
      </c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>
        <v>30</v>
      </c>
      <c r="BK224" s="4">
        <v>1.5</v>
      </c>
      <c r="BL224" s="4">
        <v>30</v>
      </c>
      <c r="BM224" s="4"/>
      <c r="BN224" s="4"/>
      <c r="BO224" s="4"/>
      <c r="BP224" s="4"/>
      <c r="BQ224" s="4"/>
      <c r="BR224" s="4"/>
      <c r="BS224" s="4"/>
      <c r="BT224" s="4"/>
      <c r="BU224" s="4"/>
      <c r="BV224" s="4"/>
    </row>
    <row r="225" spans="1:74" x14ac:dyDescent="0.25">
      <c r="A225" s="5" t="s">
        <v>559</v>
      </c>
      <c r="B225" s="5" t="s">
        <v>551</v>
      </c>
      <c r="C225" s="5" t="s">
        <v>560</v>
      </c>
      <c r="D225" s="5" t="s">
        <v>511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>
        <v>1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>
        <v>9</v>
      </c>
      <c r="AU225" s="4">
        <v>0.6</v>
      </c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>
        <v>35</v>
      </c>
      <c r="BK225" s="4">
        <v>3</v>
      </c>
      <c r="BL225" s="4">
        <v>30</v>
      </c>
      <c r="BM225" s="4"/>
      <c r="BN225" s="4"/>
      <c r="BO225" s="4"/>
      <c r="BP225" s="4"/>
      <c r="BQ225" s="4"/>
      <c r="BR225" s="4"/>
      <c r="BS225" s="4"/>
      <c r="BT225" s="4"/>
      <c r="BU225" s="4"/>
      <c r="BV225" s="4"/>
    </row>
    <row r="226" spans="1:74" x14ac:dyDescent="0.25">
      <c r="A226" s="3" t="s">
        <v>561</v>
      </c>
      <c r="B226" s="3" t="s">
        <v>562</v>
      </c>
      <c r="C226" s="3" t="s">
        <v>563</v>
      </c>
      <c r="D226" s="3" t="s">
        <v>511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>
        <v>1.2E-2</v>
      </c>
      <c r="AW226" s="4">
        <v>0.13500000000000001</v>
      </c>
      <c r="AX226" s="4">
        <v>0.54</v>
      </c>
      <c r="AY226" s="4"/>
      <c r="AZ226" s="4"/>
      <c r="BA226" s="4"/>
      <c r="BB226" s="4"/>
      <c r="BC226" s="4"/>
      <c r="BD226" s="4"/>
      <c r="BE226" s="4">
        <v>2.7</v>
      </c>
      <c r="BF226" s="4">
        <v>1.8</v>
      </c>
      <c r="BG226" s="4">
        <v>35</v>
      </c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</row>
    <row r="227" spans="1:74" x14ac:dyDescent="0.25">
      <c r="A227" s="5" t="s">
        <v>564</v>
      </c>
      <c r="B227" s="5" t="s">
        <v>562</v>
      </c>
      <c r="C227" s="5" t="s">
        <v>565</v>
      </c>
      <c r="D227" s="5" t="s">
        <v>511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>
        <v>0.02</v>
      </c>
      <c r="AW227" s="4">
        <v>0.22500000000000001</v>
      </c>
      <c r="AX227" s="4">
        <v>0.9</v>
      </c>
      <c r="AY227" s="4"/>
      <c r="AZ227" s="4"/>
      <c r="BA227" s="4"/>
      <c r="BB227" s="4"/>
      <c r="BC227" s="4"/>
      <c r="BD227" s="4"/>
      <c r="BE227" s="4">
        <v>4.5</v>
      </c>
      <c r="BF227" s="4">
        <v>3</v>
      </c>
      <c r="BG227" s="4">
        <v>105</v>
      </c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</row>
    <row r="228" spans="1:74" x14ac:dyDescent="0.25">
      <c r="A228" s="3" t="s">
        <v>566</v>
      </c>
      <c r="B228" s="3" t="s">
        <v>567</v>
      </c>
      <c r="C228" s="3" t="s">
        <v>568</v>
      </c>
      <c r="D228" s="3" t="s">
        <v>569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>
        <v>1</v>
      </c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>
        <v>2.75E-2</v>
      </c>
      <c r="AZ228" s="4">
        <v>8.6400000000000005E-2</v>
      </c>
      <c r="BA228" s="4"/>
      <c r="BB228" s="4"/>
      <c r="BC228" s="4"/>
      <c r="BD228" s="4"/>
      <c r="BE228" s="4"/>
      <c r="BF228" s="4"/>
      <c r="BG228" s="4"/>
      <c r="BH228" s="4">
        <v>2.59</v>
      </c>
      <c r="BI228" s="4">
        <v>210</v>
      </c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</row>
    <row r="229" spans="1:74" x14ac:dyDescent="0.25">
      <c r="A229" s="5" t="s">
        <v>570</v>
      </c>
      <c r="B229" s="5" t="s">
        <v>567</v>
      </c>
      <c r="C229" s="5" t="s">
        <v>571</v>
      </c>
      <c r="D229" s="5" t="s">
        <v>569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>
        <v>1</v>
      </c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>
        <v>3.5099999999999999E-2</v>
      </c>
      <c r="AZ229" s="4">
        <v>0.17280000000000001</v>
      </c>
      <c r="BA229" s="4"/>
      <c r="BB229" s="4"/>
      <c r="BC229" s="4"/>
      <c r="BD229" s="4"/>
      <c r="BE229" s="4"/>
      <c r="BF229" s="4"/>
      <c r="BG229" s="4"/>
      <c r="BH229" s="4">
        <v>5.18</v>
      </c>
      <c r="BI229" s="4">
        <v>210</v>
      </c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</row>
    <row r="230" spans="1:74" x14ac:dyDescent="0.25">
      <c r="A230" s="3" t="s">
        <v>572</v>
      </c>
      <c r="B230" s="3" t="s">
        <v>567</v>
      </c>
      <c r="C230" s="3" t="s">
        <v>573</v>
      </c>
      <c r="D230" s="3" t="s">
        <v>569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>
        <v>1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>
        <v>3.9899999999999998E-2</v>
      </c>
      <c r="AZ230" s="4">
        <v>0.22800000000000001</v>
      </c>
      <c r="BA230" s="4"/>
      <c r="BB230" s="4"/>
      <c r="BC230" s="4"/>
      <c r="BD230" s="4"/>
      <c r="BE230" s="4"/>
      <c r="BF230" s="4"/>
      <c r="BG230" s="4"/>
      <c r="BH230" s="4">
        <v>6.84</v>
      </c>
      <c r="BI230" s="4">
        <v>210</v>
      </c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</row>
    <row r="231" spans="1:74" x14ac:dyDescent="0.25">
      <c r="A231" s="5" t="s">
        <v>574</v>
      </c>
      <c r="B231" s="5" t="s">
        <v>575</v>
      </c>
      <c r="C231" s="5" t="s">
        <v>576</v>
      </c>
      <c r="D231" s="5" t="s">
        <v>569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>
        <v>1</v>
      </c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>
        <v>0.03</v>
      </c>
      <c r="AZ231" s="4">
        <v>0.1152</v>
      </c>
      <c r="BA231" s="4"/>
      <c r="BB231" s="4"/>
      <c r="BC231" s="4"/>
      <c r="BD231" s="4"/>
      <c r="BE231" s="4"/>
      <c r="BF231" s="4"/>
      <c r="BG231" s="4"/>
      <c r="BH231" s="4">
        <v>3.46</v>
      </c>
      <c r="BI231" s="4">
        <v>240</v>
      </c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</row>
    <row r="232" spans="1:74" x14ac:dyDescent="0.25">
      <c r="A232" s="3" t="s">
        <v>577</v>
      </c>
      <c r="B232" s="3" t="s">
        <v>575</v>
      </c>
      <c r="C232" s="3" t="s">
        <v>578</v>
      </c>
      <c r="D232" s="3" t="s">
        <v>569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>
        <v>1</v>
      </c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>
        <v>4.0099999999999997E-2</v>
      </c>
      <c r="AZ232" s="4">
        <v>0.23039999999999999</v>
      </c>
      <c r="BA232" s="4"/>
      <c r="BB232" s="4"/>
      <c r="BC232" s="4"/>
      <c r="BD232" s="4"/>
      <c r="BE232" s="4"/>
      <c r="BF232" s="4"/>
      <c r="BG232" s="4"/>
      <c r="BH232" s="4">
        <v>6.91</v>
      </c>
      <c r="BI232" s="4">
        <v>240</v>
      </c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</row>
    <row r="233" spans="1:74" x14ac:dyDescent="0.25">
      <c r="A233" s="5" t="s">
        <v>579</v>
      </c>
      <c r="B233" s="5" t="s">
        <v>575</v>
      </c>
      <c r="C233" s="5" t="s">
        <v>580</v>
      </c>
      <c r="D233" s="5" t="s">
        <v>569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>
        <v>1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>
        <v>5.2900000000000003E-2</v>
      </c>
      <c r="AZ233" s="4">
        <v>0.378</v>
      </c>
      <c r="BA233" s="4"/>
      <c r="BB233" s="4"/>
      <c r="BC233" s="4"/>
      <c r="BD233" s="4"/>
      <c r="BE233" s="4"/>
      <c r="BF233" s="4"/>
      <c r="BG233" s="4"/>
      <c r="BH233" s="4">
        <v>11.34</v>
      </c>
      <c r="BI233" s="4">
        <v>240</v>
      </c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</row>
    <row r="234" spans="1:74" x14ac:dyDescent="0.25">
      <c r="A234" s="3" t="s">
        <v>581</v>
      </c>
      <c r="B234" s="3" t="s">
        <v>582</v>
      </c>
      <c r="C234" s="3" t="s">
        <v>583</v>
      </c>
      <c r="D234" s="3" t="s">
        <v>569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>
        <v>1</v>
      </c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</row>
    <row r="235" spans="1:74" x14ac:dyDescent="0.25">
      <c r="A235" s="5" t="s">
        <v>584</v>
      </c>
      <c r="B235" s="5" t="s">
        <v>582</v>
      </c>
      <c r="C235" s="5" t="s">
        <v>585</v>
      </c>
      <c r="D235" s="5" t="s">
        <v>569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>
        <v>1</v>
      </c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>
        <v>0.3</v>
      </c>
      <c r="AU235" s="4">
        <v>0.06</v>
      </c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>
        <v>11</v>
      </c>
      <c r="BK235" s="4">
        <v>0.3</v>
      </c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</row>
    <row r="236" spans="1:74" x14ac:dyDescent="0.25">
      <c r="A236" s="3" t="s">
        <v>586</v>
      </c>
      <c r="B236" s="3" t="s">
        <v>587</v>
      </c>
      <c r="C236" s="3" t="s">
        <v>588</v>
      </c>
      <c r="D236" s="3" t="s">
        <v>569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>
        <v>1</v>
      </c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>
        <v>0.5</v>
      </c>
      <c r="AU236" s="4">
        <v>0.06</v>
      </c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>
        <v>13</v>
      </c>
      <c r="BK236" s="4">
        <v>0.3</v>
      </c>
      <c r="BL236" s="4">
        <v>20</v>
      </c>
      <c r="BM236" s="4"/>
      <c r="BN236" s="4"/>
      <c r="BO236" s="4"/>
      <c r="BP236" s="4"/>
      <c r="BQ236" s="4"/>
      <c r="BR236" s="4"/>
      <c r="BS236" s="4"/>
      <c r="BT236" s="4"/>
      <c r="BU236" s="4"/>
      <c r="BV236" s="4"/>
    </row>
    <row r="237" spans="1:74" x14ac:dyDescent="0.25">
      <c r="A237" s="5" t="s">
        <v>589</v>
      </c>
      <c r="B237" s="5" t="s">
        <v>587</v>
      </c>
      <c r="C237" s="5" t="s">
        <v>590</v>
      </c>
      <c r="D237" s="5" t="s">
        <v>569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>
        <v>1</v>
      </c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>
        <v>1</v>
      </c>
      <c r="AU237" s="4">
        <v>0.12</v>
      </c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>
        <v>18</v>
      </c>
      <c r="BK237" s="4">
        <v>0.6</v>
      </c>
      <c r="BL237" s="4">
        <v>20</v>
      </c>
      <c r="BM237" s="4"/>
      <c r="BN237" s="4"/>
      <c r="BO237" s="4"/>
      <c r="BP237" s="4"/>
      <c r="BQ237" s="4"/>
      <c r="BR237" s="4"/>
      <c r="BS237" s="4"/>
      <c r="BT237" s="4"/>
      <c r="BU237" s="4"/>
      <c r="BV237" s="4"/>
    </row>
    <row r="238" spans="1:74" x14ac:dyDescent="0.25">
      <c r="A238" s="3" t="s">
        <v>591</v>
      </c>
      <c r="B238" s="3" t="s">
        <v>592</v>
      </c>
      <c r="C238" s="3" t="s">
        <v>593</v>
      </c>
      <c r="D238" s="3" t="s">
        <v>569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>
        <v>1</v>
      </c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>
        <v>0.12470000000000001</v>
      </c>
      <c r="AW238" s="4">
        <v>1.1227</v>
      </c>
      <c r="AX238" s="4">
        <v>5.6132999999999997</v>
      </c>
      <c r="AY238" s="4"/>
      <c r="AZ238" s="4"/>
      <c r="BA238" s="4"/>
      <c r="BB238" s="4"/>
      <c r="BC238" s="4"/>
      <c r="BD238" s="4"/>
      <c r="BE238" s="4">
        <v>28.07</v>
      </c>
      <c r="BF238" s="4">
        <v>18.71</v>
      </c>
      <c r="BG238" s="4">
        <v>25</v>
      </c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</row>
    <row r="239" spans="1:74" x14ac:dyDescent="0.25">
      <c r="A239" s="5" t="s">
        <v>594</v>
      </c>
      <c r="B239" s="5" t="s">
        <v>592</v>
      </c>
      <c r="C239" s="5" t="s">
        <v>595</v>
      </c>
      <c r="D239" s="5" t="s">
        <v>569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>
        <v>1</v>
      </c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>
        <v>0.2495</v>
      </c>
      <c r="AW239" s="4">
        <v>2.2452999999999999</v>
      </c>
      <c r="AX239" s="4">
        <v>11.226599999999999</v>
      </c>
      <c r="AY239" s="4"/>
      <c r="AZ239" s="4"/>
      <c r="BA239" s="4"/>
      <c r="BB239" s="4"/>
      <c r="BC239" s="4"/>
      <c r="BD239" s="4"/>
      <c r="BE239" s="4">
        <v>56.13</v>
      </c>
      <c r="BF239" s="4">
        <v>37.42</v>
      </c>
      <c r="BG239" s="4">
        <v>25</v>
      </c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</row>
    <row r="240" spans="1:74" x14ac:dyDescent="0.25">
      <c r="A240" s="3" t="s">
        <v>596</v>
      </c>
      <c r="B240" s="3" t="s">
        <v>592</v>
      </c>
      <c r="C240" s="3" t="s">
        <v>597</v>
      </c>
      <c r="D240" s="3" t="s">
        <v>569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>
        <v>1</v>
      </c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>
        <v>6</v>
      </c>
      <c r="AU240" s="4">
        <v>0.3</v>
      </c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>
        <v>25</v>
      </c>
      <c r="BK240" s="4">
        <v>1.5</v>
      </c>
      <c r="BL240" s="4">
        <v>30</v>
      </c>
      <c r="BM240" s="4"/>
      <c r="BN240" s="4"/>
      <c r="BO240" s="4"/>
      <c r="BP240" s="4"/>
      <c r="BQ240" s="4"/>
      <c r="BR240" s="4"/>
      <c r="BS240" s="4"/>
      <c r="BT240" s="4"/>
      <c r="BU240" s="4"/>
      <c r="BV240" s="4"/>
    </row>
    <row r="241" spans="1:74" x14ac:dyDescent="0.25">
      <c r="A241" s="5" t="s">
        <v>598</v>
      </c>
      <c r="B241" s="5" t="s">
        <v>592</v>
      </c>
      <c r="C241" s="5" t="s">
        <v>599</v>
      </c>
      <c r="D241" s="5" t="s">
        <v>569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>
        <v>1</v>
      </c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>
        <v>12</v>
      </c>
      <c r="AU241" s="4">
        <v>0.6</v>
      </c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>
        <v>30</v>
      </c>
      <c r="BK241" s="4">
        <v>3</v>
      </c>
      <c r="BL241" s="4">
        <v>30</v>
      </c>
      <c r="BM241" s="4"/>
      <c r="BN241" s="4"/>
      <c r="BO241" s="4"/>
      <c r="BP241" s="4"/>
      <c r="BQ241" s="4"/>
      <c r="BR241" s="4"/>
      <c r="BS241" s="4"/>
      <c r="BT241" s="4"/>
      <c r="BU241" s="4"/>
      <c r="BV241" s="4"/>
    </row>
    <row r="242" spans="1:74" x14ac:dyDescent="0.25">
      <c r="A242" s="3" t="s">
        <v>600</v>
      </c>
      <c r="B242" s="3" t="s">
        <v>592</v>
      </c>
      <c r="C242" s="3" t="s">
        <v>601</v>
      </c>
      <c r="D242" s="3" t="s">
        <v>569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>
        <v>1</v>
      </c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>
        <v>18</v>
      </c>
      <c r="AU242" s="4">
        <v>0.9</v>
      </c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>
        <v>35</v>
      </c>
      <c r="BK242" s="4">
        <v>4.5</v>
      </c>
      <c r="BL242" s="4">
        <v>30</v>
      </c>
      <c r="BM242" s="4"/>
      <c r="BN242" s="4"/>
      <c r="BO242" s="4"/>
      <c r="BP242" s="4"/>
      <c r="BQ242" s="4"/>
      <c r="BR242" s="4"/>
      <c r="BS242" s="4"/>
      <c r="BT242" s="4"/>
      <c r="BU242" s="4"/>
      <c r="BV242" s="4"/>
    </row>
    <row r="243" spans="1:74" x14ac:dyDescent="0.25">
      <c r="A243" s="5" t="s">
        <v>602</v>
      </c>
      <c r="B243" s="5" t="s">
        <v>603</v>
      </c>
      <c r="C243" s="5" t="s">
        <v>604</v>
      </c>
      <c r="D243" s="5" t="s">
        <v>569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1</v>
      </c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>
        <v>2.3999999999999998E-3</v>
      </c>
      <c r="AW243" s="4">
        <v>2.1600000000000001E-2</v>
      </c>
      <c r="AX243" s="4">
        <v>0.108</v>
      </c>
      <c r="AY243" s="4"/>
      <c r="AZ243" s="4"/>
      <c r="BA243" s="4"/>
      <c r="BB243" s="4"/>
      <c r="BC243" s="4"/>
      <c r="BD243" s="4"/>
      <c r="BE243" s="4">
        <v>0.54</v>
      </c>
      <c r="BF243" s="4">
        <v>0.36</v>
      </c>
      <c r="BG243" s="4">
        <v>20</v>
      </c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</row>
    <row r="244" spans="1:74" x14ac:dyDescent="0.25">
      <c r="A244" s="3" t="s">
        <v>605</v>
      </c>
      <c r="B244" s="3" t="s">
        <v>606</v>
      </c>
      <c r="C244" s="3" t="s">
        <v>607</v>
      </c>
      <c r="D244" s="3" t="s">
        <v>569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1</v>
      </c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>
        <v>7.1999999999999998E-3</v>
      </c>
      <c r="AW244" s="4">
        <v>6.4799999999999996E-2</v>
      </c>
      <c r="AX244" s="4">
        <v>0.32400000000000001</v>
      </c>
      <c r="AY244" s="4"/>
      <c r="AZ244" s="4"/>
      <c r="BA244" s="4"/>
      <c r="BB244" s="4"/>
      <c r="BC244" s="4"/>
      <c r="BD244" s="4"/>
      <c r="BE244" s="4">
        <v>1.62</v>
      </c>
      <c r="BF244" s="4">
        <v>1.08</v>
      </c>
      <c r="BG244" s="4">
        <v>25</v>
      </c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</row>
    <row r="245" spans="1:74" x14ac:dyDescent="0.25">
      <c r="A245" s="5" t="s">
        <v>608</v>
      </c>
      <c r="B245" s="5" t="s">
        <v>609</v>
      </c>
      <c r="C245" s="5" t="s">
        <v>610</v>
      </c>
      <c r="D245" s="5" t="s">
        <v>611</v>
      </c>
      <c r="E245" s="4"/>
      <c r="F245" s="4"/>
      <c r="G245" s="4"/>
      <c r="H245" s="4"/>
      <c r="I245" s="4"/>
      <c r="J245" s="4"/>
      <c r="K245" s="4"/>
      <c r="L245" s="4">
        <v>5.4999999999999997E-3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>
        <v>2.5999999999999999E-3</v>
      </c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>
        <v>0.02</v>
      </c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>
        <v>1.31</v>
      </c>
      <c r="BS245" s="4"/>
      <c r="BT245" s="4"/>
      <c r="BU245" s="4"/>
      <c r="BV245" s="4"/>
    </row>
    <row r="246" spans="1:74" x14ac:dyDescent="0.25">
      <c r="A246" s="3" t="s">
        <v>612</v>
      </c>
      <c r="B246" s="3" t="s">
        <v>609</v>
      </c>
      <c r="C246" s="3" t="s">
        <v>613</v>
      </c>
      <c r="D246" s="3" t="s">
        <v>611</v>
      </c>
      <c r="E246" s="4"/>
      <c r="F246" s="4"/>
      <c r="G246" s="4"/>
      <c r="H246" s="4"/>
      <c r="I246" s="4"/>
      <c r="J246" s="4"/>
      <c r="K246" s="4"/>
      <c r="L246" s="4">
        <v>2.1899999999999999E-2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>
        <v>1.0500000000000001E-2</v>
      </c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>
        <v>0.09</v>
      </c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>
        <v>5.25</v>
      </c>
      <c r="BS246" s="4"/>
      <c r="BT246" s="4"/>
      <c r="BU246" s="4"/>
      <c r="BV246" s="4"/>
    </row>
    <row r="247" spans="1:74" x14ac:dyDescent="0.25">
      <c r="A247" s="5" t="s">
        <v>614</v>
      </c>
      <c r="B247" s="5" t="s">
        <v>609</v>
      </c>
      <c r="C247" s="5" t="s">
        <v>615</v>
      </c>
      <c r="D247" s="5" t="s">
        <v>611</v>
      </c>
      <c r="E247" s="4"/>
      <c r="F247" s="4"/>
      <c r="G247" s="4"/>
      <c r="H247" s="4"/>
      <c r="I247" s="4"/>
      <c r="J247" s="4"/>
      <c r="K247" s="4"/>
      <c r="L247" s="4">
        <v>3.2800000000000003E-2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>
        <v>1.5800000000000002E-2</v>
      </c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>
        <v>0.13</v>
      </c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>
        <v>7.88</v>
      </c>
      <c r="BS247" s="4"/>
      <c r="BT247" s="4"/>
      <c r="BU247" s="4"/>
      <c r="BV247" s="4"/>
    </row>
    <row r="248" spans="1:74" x14ac:dyDescent="0.25">
      <c r="A248" s="3" t="s">
        <v>616</v>
      </c>
      <c r="B248" s="3" t="s">
        <v>609</v>
      </c>
      <c r="C248" s="3" t="s">
        <v>617</v>
      </c>
      <c r="D248" s="3" t="s">
        <v>611</v>
      </c>
      <c r="E248" s="4"/>
      <c r="F248" s="4"/>
      <c r="G248" s="4"/>
      <c r="H248" s="4"/>
      <c r="I248" s="4"/>
      <c r="J248" s="4"/>
      <c r="K248" s="4"/>
      <c r="L248" s="4">
        <v>0.1313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>
        <v>6.3E-2</v>
      </c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>
        <v>0.53</v>
      </c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>
        <v>31.5</v>
      </c>
      <c r="BS248" s="4"/>
      <c r="BT248" s="4"/>
      <c r="BU248" s="4"/>
      <c r="BV248" s="4"/>
    </row>
    <row r="249" spans="1:74" x14ac:dyDescent="0.25">
      <c r="A249" s="5" t="s">
        <v>618</v>
      </c>
      <c r="B249" s="5" t="s">
        <v>619</v>
      </c>
      <c r="C249" s="5" t="s">
        <v>620</v>
      </c>
      <c r="D249" s="5" t="s">
        <v>611</v>
      </c>
      <c r="E249" s="4"/>
      <c r="F249" s="4"/>
      <c r="G249" s="4"/>
      <c r="H249" s="4"/>
      <c r="I249" s="4"/>
      <c r="J249" s="4"/>
      <c r="K249" s="4"/>
      <c r="L249" s="4">
        <v>3.8E-3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>
        <v>6.7999999999999996E-3</v>
      </c>
      <c r="AM249" s="4"/>
      <c r="AN249" s="4"/>
      <c r="AO249" s="4"/>
      <c r="AP249" s="4"/>
      <c r="AQ249" s="4">
        <v>1.8E-3</v>
      </c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>
        <v>0.02</v>
      </c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>
        <v>0.04</v>
      </c>
      <c r="BR249" s="4">
        <v>0.9</v>
      </c>
      <c r="BS249" s="4"/>
      <c r="BT249" s="4"/>
      <c r="BU249" s="4"/>
      <c r="BV249" s="4"/>
    </row>
    <row r="250" spans="1:74" x14ac:dyDescent="0.25">
      <c r="A250" s="3" t="s">
        <v>621</v>
      </c>
      <c r="B250" s="3" t="s">
        <v>619</v>
      </c>
      <c r="C250" s="3" t="s">
        <v>622</v>
      </c>
      <c r="D250" s="3" t="s">
        <v>611</v>
      </c>
      <c r="E250" s="4"/>
      <c r="F250" s="4"/>
      <c r="G250" s="4"/>
      <c r="H250" s="4"/>
      <c r="I250" s="4"/>
      <c r="J250" s="4"/>
      <c r="K250" s="4"/>
      <c r="L250" s="4">
        <v>3.3E-3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>
        <v>5.8999999999999999E-3</v>
      </c>
      <c r="AM250" s="4"/>
      <c r="AN250" s="4"/>
      <c r="AO250" s="4"/>
      <c r="AP250" s="4"/>
      <c r="AQ250" s="4">
        <v>1.6000000000000001E-3</v>
      </c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>
        <v>0.01</v>
      </c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>
        <v>0.04</v>
      </c>
      <c r="BR250" s="4">
        <v>0.79</v>
      </c>
      <c r="BS250" s="4"/>
      <c r="BT250" s="4"/>
      <c r="BU250" s="4"/>
      <c r="BV250" s="4"/>
    </row>
    <row r="251" spans="1:74" x14ac:dyDescent="0.25">
      <c r="A251" s="5" t="s">
        <v>623</v>
      </c>
      <c r="B251" s="5" t="s">
        <v>619</v>
      </c>
      <c r="C251" s="5" t="s">
        <v>624</v>
      </c>
      <c r="D251" s="5" t="s">
        <v>611</v>
      </c>
      <c r="E251" s="4"/>
      <c r="F251" s="4"/>
      <c r="G251" s="4"/>
      <c r="H251" s="4"/>
      <c r="I251" s="4"/>
      <c r="J251" s="4"/>
      <c r="K251" s="4"/>
      <c r="L251" s="4">
        <v>1.6400000000000001E-2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>
        <v>2.9499999999999998E-2</v>
      </c>
      <c r="AM251" s="4"/>
      <c r="AN251" s="4"/>
      <c r="AO251" s="4"/>
      <c r="AP251" s="4"/>
      <c r="AQ251" s="4">
        <v>7.9000000000000008E-3</v>
      </c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>
        <v>7.0000000000000007E-2</v>
      </c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>
        <v>0.18</v>
      </c>
      <c r="BR251" s="4">
        <v>3.94</v>
      </c>
      <c r="BS251" s="4"/>
      <c r="BT251" s="4"/>
      <c r="BU251" s="4"/>
      <c r="BV251" s="4"/>
    </row>
    <row r="252" spans="1:74" x14ac:dyDescent="0.25">
      <c r="A252" s="3" t="s">
        <v>625</v>
      </c>
      <c r="B252" s="3" t="s">
        <v>619</v>
      </c>
      <c r="C252" s="3" t="s">
        <v>626</v>
      </c>
      <c r="D252" s="3" t="s">
        <v>611</v>
      </c>
      <c r="E252" s="4"/>
      <c r="F252" s="4"/>
      <c r="G252" s="4"/>
      <c r="H252" s="4"/>
      <c r="I252" s="4"/>
      <c r="J252" s="4"/>
      <c r="K252" s="4"/>
      <c r="L252" s="4">
        <v>3.2800000000000003E-2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>
        <v>5.91E-2</v>
      </c>
      <c r="AM252" s="4"/>
      <c r="AN252" s="4"/>
      <c r="AO252" s="4"/>
      <c r="AP252" s="4"/>
      <c r="AQ252" s="4">
        <v>1.5800000000000002E-2</v>
      </c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>
        <v>0.13</v>
      </c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>
        <v>0.35</v>
      </c>
      <c r="BR252" s="4">
        <v>7.88</v>
      </c>
      <c r="BS252" s="4"/>
      <c r="BT252" s="4"/>
      <c r="BU252" s="4"/>
      <c r="BV252" s="4"/>
    </row>
    <row r="253" spans="1:74" x14ac:dyDescent="0.25">
      <c r="A253" s="5" t="s">
        <v>627</v>
      </c>
      <c r="B253" s="5" t="s">
        <v>619</v>
      </c>
      <c r="C253" s="5" t="s">
        <v>628</v>
      </c>
      <c r="D253" s="5" t="s">
        <v>611</v>
      </c>
      <c r="E253" s="4"/>
      <c r="F253" s="4"/>
      <c r="G253" s="4"/>
      <c r="H253" s="4"/>
      <c r="I253" s="4"/>
      <c r="J253" s="4"/>
      <c r="K253" s="4"/>
      <c r="L253" s="4">
        <v>3.2800000000000003E-2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>
        <v>5.91E-2</v>
      </c>
      <c r="AM253" s="4"/>
      <c r="AN253" s="4"/>
      <c r="AO253" s="4"/>
      <c r="AP253" s="4"/>
      <c r="AQ253" s="4">
        <v>1.5800000000000002E-2</v>
      </c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>
        <v>0.13</v>
      </c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>
        <v>0.35</v>
      </c>
      <c r="BR253" s="4">
        <v>7.88</v>
      </c>
      <c r="BS253" s="4"/>
      <c r="BT253" s="4"/>
      <c r="BU253" s="4"/>
      <c r="BV253" s="4"/>
    </row>
    <row r="254" spans="1:74" x14ac:dyDescent="0.25">
      <c r="A254" s="3" t="s">
        <v>629</v>
      </c>
      <c r="B254" s="3" t="s">
        <v>619</v>
      </c>
      <c r="C254" s="3" t="s">
        <v>630</v>
      </c>
      <c r="D254" s="3" t="s">
        <v>611</v>
      </c>
      <c r="E254" s="4"/>
      <c r="F254" s="4"/>
      <c r="G254" s="4"/>
      <c r="H254" s="4"/>
      <c r="I254" s="4"/>
      <c r="J254" s="4"/>
      <c r="K254" s="4"/>
      <c r="L254" s="4">
        <v>3.2800000000000003E-2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>
        <v>5.91E-2</v>
      </c>
      <c r="AM254" s="4"/>
      <c r="AN254" s="4"/>
      <c r="AO254" s="4"/>
      <c r="AP254" s="4"/>
      <c r="AQ254" s="4">
        <v>1.5800000000000002E-2</v>
      </c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>
        <v>0.13</v>
      </c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>
        <v>0.35</v>
      </c>
      <c r="BR254" s="4">
        <v>7.88</v>
      </c>
      <c r="BS254" s="4"/>
      <c r="BT254" s="4"/>
      <c r="BU254" s="4"/>
      <c r="BV254" s="4"/>
    </row>
    <row r="255" spans="1:74" x14ac:dyDescent="0.25">
      <c r="A255" s="5" t="s">
        <v>631</v>
      </c>
      <c r="B255" s="5" t="s">
        <v>619</v>
      </c>
      <c r="C255" s="5" t="s">
        <v>632</v>
      </c>
      <c r="D255" s="5" t="s">
        <v>611</v>
      </c>
      <c r="E255" s="4"/>
      <c r="F255" s="4"/>
      <c r="G255" s="4"/>
      <c r="H255" s="4"/>
      <c r="I255" s="4"/>
      <c r="J255" s="4"/>
      <c r="K255" s="4">
        <v>2.1899999999999999E-2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>
        <v>2.1000000000000001E-2</v>
      </c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>
        <v>0.18</v>
      </c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>
        <v>5.25</v>
      </c>
      <c r="BS255" s="4"/>
      <c r="BT255" s="4"/>
      <c r="BU255" s="4"/>
      <c r="BV255" s="4"/>
    </row>
    <row r="256" spans="1:74" x14ac:dyDescent="0.25">
      <c r="A256" s="3" t="s">
        <v>633</v>
      </c>
      <c r="B256" s="3" t="s">
        <v>634</v>
      </c>
      <c r="C256" s="3" t="s">
        <v>635</v>
      </c>
      <c r="D256" s="3" t="s">
        <v>611</v>
      </c>
      <c r="E256" s="4"/>
      <c r="F256" s="4"/>
      <c r="G256" s="4"/>
      <c r="H256" s="4"/>
      <c r="I256" s="4"/>
      <c r="J256" s="4"/>
      <c r="K256" s="4">
        <v>0.1313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>
        <v>0.23630000000000001</v>
      </c>
      <c r="AL256" s="4"/>
      <c r="AM256" s="4"/>
      <c r="AN256" s="4"/>
      <c r="AO256" s="4"/>
      <c r="AP256" s="4"/>
      <c r="AQ256" s="4">
        <v>6.3E-2</v>
      </c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>
        <v>0.53</v>
      </c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>
        <v>15</v>
      </c>
      <c r="BO256" s="4"/>
      <c r="BP256" s="4"/>
      <c r="BQ256" s="4">
        <v>1.42</v>
      </c>
      <c r="BR256" s="4">
        <v>63</v>
      </c>
      <c r="BS256" s="4"/>
      <c r="BT256" s="4"/>
      <c r="BU256" s="4"/>
      <c r="BV256" s="4"/>
    </row>
    <row r="257" spans="1:74" x14ac:dyDescent="0.25">
      <c r="A257" s="5" t="s">
        <v>636</v>
      </c>
      <c r="B257" s="5" t="s">
        <v>634</v>
      </c>
      <c r="C257" s="5" t="s">
        <v>637</v>
      </c>
      <c r="D257" s="5" t="s">
        <v>611</v>
      </c>
      <c r="E257" s="4"/>
      <c r="F257" s="4"/>
      <c r="G257" s="4"/>
      <c r="H257" s="4"/>
      <c r="I257" s="4"/>
      <c r="J257" s="4"/>
      <c r="K257" s="4">
        <v>0.26250000000000001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>
        <v>0.47249999999999998</v>
      </c>
      <c r="AL257" s="4"/>
      <c r="AM257" s="4"/>
      <c r="AN257" s="4"/>
      <c r="AO257" s="4"/>
      <c r="AP257" s="4"/>
      <c r="AQ257" s="4">
        <v>0.126</v>
      </c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>
        <v>1.05</v>
      </c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>
        <v>15</v>
      </c>
      <c r="BO257" s="4"/>
      <c r="BP257" s="4"/>
      <c r="BQ257" s="4">
        <v>2.83</v>
      </c>
      <c r="BR257" s="4">
        <v>126</v>
      </c>
      <c r="BS257" s="4"/>
      <c r="BT257" s="4"/>
      <c r="BU257" s="4"/>
      <c r="BV257" s="4"/>
    </row>
    <row r="258" spans="1:74" x14ac:dyDescent="0.25">
      <c r="A258" s="3" t="s">
        <v>638</v>
      </c>
      <c r="B258" s="3" t="s">
        <v>634</v>
      </c>
      <c r="C258" s="3" t="s">
        <v>639</v>
      </c>
      <c r="D258" s="3" t="s">
        <v>611</v>
      </c>
      <c r="E258" s="4"/>
      <c r="F258" s="4"/>
      <c r="G258" s="4"/>
      <c r="H258" s="4"/>
      <c r="I258" s="4"/>
      <c r="J258" s="4"/>
      <c r="K258" s="4">
        <v>0.52500000000000002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>
        <v>0.94499999999999995</v>
      </c>
      <c r="AL258" s="4"/>
      <c r="AM258" s="4"/>
      <c r="AN258" s="4"/>
      <c r="AO258" s="4"/>
      <c r="AP258" s="4"/>
      <c r="AQ258" s="4">
        <v>0.252</v>
      </c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>
        <v>2.1</v>
      </c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>
        <v>15</v>
      </c>
      <c r="BO258" s="4"/>
      <c r="BP258" s="4"/>
      <c r="BQ258" s="4">
        <v>5.67</v>
      </c>
      <c r="BR258" s="4">
        <v>252</v>
      </c>
      <c r="BS258" s="4"/>
      <c r="BT258" s="4"/>
      <c r="BU258" s="4"/>
      <c r="BV258" s="4"/>
    </row>
    <row r="259" spans="1:74" x14ac:dyDescent="0.25">
      <c r="A259" s="5" t="s">
        <v>640</v>
      </c>
      <c r="B259" s="5" t="s">
        <v>634</v>
      </c>
      <c r="C259" s="5" t="s">
        <v>641</v>
      </c>
      <c r="D259" s="5" t="s">
        <v>611</v>
      </c>
      <c r="E259" s="4"/>
      <c r="F259" s="4"/>
      <c r="G259" s="4"/>
      <c r="H259" s="4"/>
      <c r="I259" s="4"/>
      <c r="J259" s="4"/>
      <c r="K259" s="4">
        <v>0.1313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>
        <v>0.23630000000000001</v>
      </c>
      <c r="AL259" s="4"/>
      <c r="AM259" s="4"/>
      <c r="AN259" s="4"/>
      <c r="AO259" s="4"/>
      <c r="AP259" s="4"/>
      <c r="AQ259" s="4">
        <v>6.3E-2</v>
      </c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>
        <v>0.53</v>
      </c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>
        <v>15</v>
      </c>
      <c r="BO259" s="4"/>
      <c r="BP259" s="4"/>
      <c r="BQ259" s="4">
        <v>1.42</v>
      </c>
      <c r="BR259" s="4">
        <v>63</v>
      </c>
      <c r="BS259" s="4"/>
      <c r="BT259" s="4"/>
      <c r="BU259" s="4"/>
      <c r="BV259" s="4"/>
    </row>
    <row r="260" spans="1:74" x14ac:dyDescent="0.25">
      <c r="A260" s="3" t="s">
        <v>642</v>
      </c>
      <c r="B260" s="3" t="s">
        <v>634</v>
      </c>
      <c r="C260" s="3" t="s">
        <v>643</v>
      </c>
      <c r="D260" s="3" t="s">
        <v>611</v>
      </c>
      <c r="E260" s="4"/>
      <c r="F260" s="4"/>
      <c r="G260" s="4"/>
      <c r="H260" s="4"/>
      <c r="I260" s="4"/>
      <c r="J260" s="4"/>
      <c r="K260" s="4">
        <v>6.5600000000000006E-2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>
        <v>0.1181</v>
      </c>
      <c r="AL260" s="4"/>
      <c r="AM260" s="4"/>
      <c r="AN260" s="4"/>
      <c r="AO260" s="4"/>
      <c r="AP260" s="4"/>
      <c r="AQ260" s="4">
        <v>3.15E-2</v>
      </c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>
        <v>0.26</v>
      </c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>
        <v>15</v>
      </c>
      <c r="BO260" s="4"/>
      <c r="BP260" s="4"/>
      <c r="BQ260" s="4">
        <v>0.71</v>
      </c>
      <c r="BR260" s="4">
        <v>31.5</v>
      </c>
      <c r="BS260" s="4"/>
      <c r="BT260" s="4"/>
      <c r="BU260" s="4"/>
      <c r="BV260" s="4"/>
    </row>
    <row r="261" spans="1:74" x14ac:dyDescent="0.25">
      <c r="A261" s="5" t="s">
        <v>644</v>
      </c>
      <c r="B261" s="5" t="s">
        <v>634</v>
      </c>
      <c r="C261" s="5" t="s">
        <v>645</v>
      </c>
      <c r="D261" s="5" t="s">
        <v>611</v>
      </c>
      <c r="E261" s="4"/>
      <c r="F261" s="4"/>
      <c r="G261" s="4"/>
      <c r="H261" s="4"/>
      <c r="I261" s="4"/>
      <c r="J261" s="4"/>
      <c r="K261" s="4">
        <v>0.52500000000000002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>
        <v>0.94499999999999995</v>
      </c>
      <c r="AL261" s="4"/>
      <c r="AM261" s="4"/>
      <c r="AN261" s="4"/>
      <c r="AO261" s="4"/>
      <c r="AP261" s="4"/>
      <c r="AQ261" s="4">
        <v>0.252</v>
      </c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>
        <v>2.1</v>
      </c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>
        <v>15</v>
      </c>
      <c r="BO261" s="4"/>
      <c r="BP261" s="4"/>
      <c r="BQ261" s="4">
        <v>5.67</v>
      </c>
      <c r="BR261" s="4">
        <v>252</v>
      </c>
      <c r="BS261" s="4"/>
      <c r="BT261" s="4"/>
      <c r="BU261" s="4"/>
      <c r="BV261" s="4"/>
    </row>
    <row r="262" spans="1:74" x14ac:dyDescent="0.25">
      <c r="A262" s="3" t="s">
        <v>646</v>
      </c>
      <c r="B262" s="3" t="s">
        <v>647</v>
      </c>
      <c r="C262" s="3" t="s">
        <v>648</v>
      </c>
      <c r="D262" s="3" t="s">
        <v>611</v>
      </c>
      <c r="E262" s="4"/>
      <c r="F262" s="4"/>
      <c r="G262" s="4"/>
      <c r="H262" s="4"/>
      <c r="I262" s="4"/>
      <c r="J262" s="4"/>
      <c r="K262" s="4"/>
      <c r="L262" s="4">
        <v>5.4999999999999997E-3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>
        <v>1</v>
      </c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>
        <v>2.5999999999999999E-3</v>
      </c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>
        <v>0.02</v>
      </c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>
        <v>1.31</v>
      </c>
      <c r="BS262" s="4"/>
      <c r="BT262" s="4"/>
      <c r="BU262" s="4"/>
      <c r="BV262" s="4"/>
    </row>
    <row r="263" spans="1:74" x14ac:dyDescent="0.25">
      <c r="A263" s="5" t="s">
        <v>649</v>
      </c>
      <c r="B263" s="5" t="s">
        <v>647</v>
      </c>
      <c r="C263" s="5" t="s">
        <v>650</v>
      </c>
      <c r="D263" s="5" t="s">
        <v>611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>
        <v>1</v>
      </c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>
        <v>3</v>
      </c>
      <c r="AU263" s="4">
        <v>0.15</v>
      </c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>
        <v>15</v>
      </c>
      <c r="BK263" s="4">
        <v>0.75</v>
      </c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</row>
    <row r="264" spans="1:74" x14ac:dyDescent="0.25">
      <c r="A264" s="3" t="s">
        <v>651</v>
      </c>
      <c r="B264" s="3" t="s">
        <v>652</v>
      </c>
      <c r="C264" s="3" t="s">
        <v>653</v>
      </c>
      <c r="D264" s="3" t="s">
        <v>611</v>
      </c>
      <c r="E264" s="4"/>
      <c r="F264" s="4"/>
      <c r="G264" s="4"/>
      <c r="H264" s="4"/>
      <c r="I264" s="4"/>
      <c r="J264" s="4"/>
      <c r="K264" s="4">
        <v>0.26250000000000001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>
        <v>0.252</v>
      </c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>
        <v>2.1</v>
      </c>
      <c r="BD264" s="4"/>
      <c r="BE264" s="4"/>
      <c r="BF264" s="4"/>
      <c r="BG264" s="4"/>
      <c r="BH264" s="4"/>
      <c r="BI264" s="4"/>
      <c r="BJ264" s="4"/>
      <c r="BK264" s="4"/>
      <c r="BL264" s="4"/>
      <c r="BM264" s="4">
        <v>0.24</v>
      </c>
      <c r="BN264" s="4">
        <v>10</v>
      </c>
      <c r="BO264" s="4"/>
      <c r="BP264" s="4"/>
      <c r="BQ264" s="4"/>
      <c r="BR264" s="4">
        <v>90</v>
      </c>
      <c r="BS264" s="4"/>
      <c r="BT264" s="4"/>
      <c r="BU264" s="4"/>
      <c r="BV264" s="4"/>
    </row>
    <row r="265" spans="1:74" x14ac:dyDescent="0.25">
      <c r="A265" s="5" t="s">
        <v>654</v>
      </c>
      <c r="B265" s="5" t="s">
        <v>652</v>
      </c>
      <c r="C265" s="5" t="s">
        <v>655</v>
      </c>
      <c r="D265" s="5" t="s">
        <v>611</v>
      </c>
      <c r="E265" s="4"/>
      <c r="F265" s="4"/>
      <c r="G265" s="4"/>
      <c r="H265" s="4"/>
      <c r="I265" s="4"/>
      <c r="J265" s="4"/>
      <c r="K265" s="4">
        <v>0.26250000000000001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>
        <v>0.47249999999999998</v>
      </c>
      <c r="AL265" s="4"/>
      <c r="AM265" s="4"/>
      <c r="AN265" s="4"/>
      <c r="AO265" s="4"/>
      <c r="AP265" s="4"/>
      <c r="AQ265" s="4">
        <v>0.252</v>
      </c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>
        <v>2.1</v>
      </c>
      <c r="BD265" s="4"/>
      <c r="BE265" s="4"/>
      <c r="BF265" s="4"/>
      <c r="BG265" s="4"/>
      <c r="BH265" s="4"/>
      <c r="BI265" s="4"/>
      <c r="BJ265" s="4"/>
      <c r="BK265" s="4"/>
      <c r="BL265" s="4"/>
      <c r="BM265" s="4">
        <v>0.24</v>
      </c>
      <c r="BN265" s="4">
        <v>10</v>
      </c>
      <c r="BO265" s="4"/>
      <c r="BP265" s="4"/>
      <c r="BQ265" s="4">
        <v>2.83</v>
      </c>
      <c r="BR265" s="4">
        <v>90</v>
      </c>
      <c r="BS265" s="4"/>
      <c r="BT265" s="4"/>
      <c r="BU265" s="4"/>
      <c r="BV265" s="4"/>
    </row>
    <row r="266" spans="1:74" x14ac:dyDescent="0.25">
      <c r="A266" s="3" t="s">
        <v>656</v>
      </c>
      <c r="B266" s="3" t="s">
        <v>652</v>
      </c>
      <c r="C266" s="3" t="s">
        <v>657</v>
      </c>
      <c r="D266" s="3" t="s">
        <v>611</v>
      </c>
      <c r="E266" s="4"/>
      <c r="F266" s="4"/>
      <c r="G266" s="4"/>
      <c r="H266" s="4"/>
      <c r="I266" s="4"/>
      <c r="J266" s="4"/>
      <c r="K266" s="4">
        <v>0.26250000000000001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>
        <v>0.47249999999999998</v>
      </c>
      <c r="AL266" s="4"/>
      <c r="AM266" s="4"/>
      <c r="AN266" s="4"/>
      <c r="AO266" s="4"/>
      <c r="AP266" s="4"/>
      <c r="AQ266" s="4">
        <v>0.252</v>
      </c>
      <c r="AR266" s="4"/>
      <c r="AS266" s="4"/>
      <c r="AT266" s="4"/>
      <c r="AU266" s="4"/>
      <c r="AV266" s="4"/>
      <c r="AW266" s="4"/>
      <c r="AX266" s="4"/>
      <c r="AY266" s="4"/>
      <c r="AZ266" s="4"/>
      <c r="BA266" s="4">
        <v>0.63</v>
      </c>
      <c r="BB266" s="4"/>
      <c r="BC266" s="4">
        <v>2.1</v>
      </c>
      <c r="BD266" s="4"/>
      <c r="BE266" s="4"/>
      <c r="BF266" s="4"/>
      <c r="BG266" s="4"/>
      <c r="BH266" s="4"/>
      <c r="BI266" s="4"/>
      <c r="BJ266" s="4"/>
      <c r="BK266" s="4"/>
      <c r="BL266" s="4"/>
      <c r="BM266" s="4">
        <v>0.24</v>
      </c>
      <c r="BN266" s="4">
        <v>10</v>
      </c>
      <c r="BO266" s="4"/>
      <c r="BP266" s="4"/>
      <c r="BQ266" s="4">
        <v>2.83</v>
      </c>
      <c r="BR266" s="4">
        <v>90</v>
      </c>
      <c r="BS266" s="4">
        <v>3.15</v>
      </c>
      <c r="BT266" s="4"/>
      <c r="BU266" s="4"/>
      <c r="BV266" s="4"/>
    </row>
    <row r="267" spans="1:74" x14ac:dyDescent="0.25">
      <c r="A267" s="5" t="s">
        <v>658</v>
      </c>
      <c r="B267" s="5" t="s">
        <v>659</v>
      </c>
      <c r="C267" s="5" t="s">
        <v>660</v>
      </c>
      <c r="D267" s="5" t="s">
        <v>661</v>
      </c>
      <c r="E267" s="4"/>
      <c r="F267" s="4"/>
      <c r="G267" s="4"/>
      <c r="H267" s="4"/>
      <c r="I267" s="4"/>
      <c r="J267" s="4"/>
      <c r="K267" s="4">
        <v>0.52500000000000002</v>
      </c>
      <c r="L267" s="4"/>
      <c r="M267" s="4"/>
      <c r="N267" s="4"/>
      <c r="O267" s="4"/>
      <c r="P267" s="4"/>
      <c r="Q267" s="4"/>
      <c r="R267" s="4"/>
      <c r="S267" s="4"/>
      <c r="T267" s="4">
        <v>1</v>
      </c>
      <c r="U267" s="4"/>
      <c r="V267" s="4"/>
      <c r="W267" s="4"/>
      <c r="X267" s="4"/>
      <c r="Y267" s="4"/>
      <c r="Z267" s="4">
        <v>1</v>
      </c>
      <c r="AA267" s="4">
        <v>1</v>
      </c>
      <c r="AB267" s="4"/>
      <c r="AC267" s="4"/>
      <c r="AD267" s="4">
        <v>1</v>
      </c>
      <c r="AE267" s="4"/>
      <c r="AF267" s="4"/>
      <c r="AG267" s="4"/>
      <c r="AH267" s="4"/>
      <c r="AI267" s="4"/>
      <c r="AJ267" s="4"/>
      <c r="AK267" s="4">
        <v>0.94499999999999995</v>
      </c>
      <c r="AL267" s="4"/>
      <c r="AM267" s="4"/>
      <c r="AN267" s="4"/>
      <c r="AO267" s="4"/>
      <c r="AP267" s="4"/>
      <c r="AQ267" s="4">
        <v>0.252</v>
      </c>
      <c r="AR267" s="4"/>
      <c r="AS267" s="4"/>
      <c r="AT267" s="4">
        <v>0.3</v>
      </c>
      <c r="AU267" s="4">
        <v>0.06</v>
      </c>
      <c r="AV267" s="4">
        <v>0.1447</v>
      </c>
      <c r="AW267" s="4">
        <v>1.3027</v>
      </c>
      <c r="AX267" s="4">
        <v>6.5133000000000001</v>
      </c>
      <c r="AY267" s="4">
        <v>3.9899999999999998E-2</v>
      </c>
      <c r="AZ267" s="4">
        <v>0.22800000000000001</v>
      </c>
      <c r="BA267" s="4"/>
      <c r="BB267" s="4"/>
      <c r="BC267" s="4">
        <v>2.1</v>
      </c>
      <c r="BD267" s="4"/>
      <c r="BE267" s="4">
        <v>32.57</v>
      </c>
      <c r="BF267" s="4">
        <v>21.71</v>
      </c>
      <c r="BG267" s="4">
        <v>50</v>
      </c>
      <c r="BH267" s="4">
        <v>6.84</v>
      </c>
      <c r="BI267" s="4">
        <v>210</v>
      </c>
      <c r="BJ267" s="4">
        <v>11</v>
      </c>
      <c r="BK267" s="4">
        <v>0.3</v>
      </c>
      <c r="BL267" s="4"/>
      <c r="BM267" s="4"/>
      <c r="BN267" s="4">
        <v>15</v>
      </c>
      <c r="BO267" s="4"/>
      <c r="BP267" s="4"/>
      <c r="BQ267" s="4">
        <v>5.67</v>
      </c>
      <c r="BR267" s="4">
        <v>252</v>
      </c>
      <c r="BS267" s="4"/>
      <c r="BT267" s="4"/>
      <c r="BU267" s="4"/>
      <c r="BV267" s="4"/>
    </row>
    <row r="268" spans="1:74" x14ac:dyDescent="0.25">
      <c r="A268" s="3" t="s">
        <v>662</v>
      </c>
      <c r="B268" s="3" t="s">
        <v>659</v>
      </c>
      <c r="C268" s="3" t="s">
        <v>663</v>
      </c>
      <c r="D268" s="3" t="s">
        <v>661</v>
      </c>
      <c r="E268" s="4"/>
      <c r="F268" s="4"/>
      <c r="G268" s="4"/>
      <c r="H268" s="4"/>
      <c r="I268" s="4">
        <v>3.2812000000000001</v>
      </c>
      <c r="J268" s="4"/>
      <c r="K268" s="4">
        <v>0.34060000000000001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>
        <v>1</v>
      </c>
      <c r="AA268" s="4"/>
      <c r="AB268" s="4"/>
      <c r="AC268" s="4"/>
      <c r="AD268" s="4"/>
      <c r="AE268" s="4"/>
      <c r="AF268" s="4"/>
      <c r="AG268" s="4"/>
      <c r="AH268" s="4">
        <v>2E-3</v>
      </c>
      <c r="AI268" s="4"/>
      <c r="AJ268" s="4"/>
      <c r="AK268" s="4">
        <v>4.4999999999999998E-2</v>
      </c>
      <c r="AL268" s="4"/>
      <c r="AM268" s="4"/>
      <c r="AN268" s="4"/>
      <c r="AO268" s="4"/>
      <c r="AP268" s="4"/>
      <c r="AQ268" s="4">
        <v>0.73650000000000004</v>
      </c>
      <c r="AR268" s="4"/>
      <c r="AS268" s="4"/>
      <c r="AT268" s="4">
        <v>0.3</v>
      </c>
      <c r="AU268" s="4">
        <v>0.06</v>
      </c>
      <c r="AV268" s="4"/>
      <c r="AW268" s="4"/>
      <c r="AX268" s="4"/>
      <c r="AY268" s="4"/>
      <c r="AZ268" s="4"/>
      <c r="BA268" s="4"/>
      <c r="BB268" s="4"/>
      <c r="BC268" s="4">
        <v>15.32</v>
      </c>
      <c r="BD268" s="4"/>
      <c r="BE268" s="4"/>
      <c r="BF268" s="4"/>
      <c r="BG268" s="4"/>
      <c r="BH268" s="4"/>
      <c r="BI268" s="4"/>
      <c r="BJ268" s="4">
        <v>11</v>
      </c>
      <c r="BK268" s="4">
        <v>0.3</v>
      </c>
      <c r="BL268" s="4"/>
      <c r="BM268" s="4">
        <v>6.48</v>
      </c>
      <c r="BN268" s="4">
        <v>10</v>
      </c>
      <c r="BO268" s="4">
        <v>8</v>
      </c>
      <c r="BP268" s="4"/>
      <c r="BQ268" s="4">
        <v>0.27</v>
      </c>
      <c r="BR268" s="4">
        <v>90</v>
      </c>
      <c r="BS268" s="4"/>
      <c r="BT268" s="4"/>
      <c r="BU268" s="4"/>
      <c r="BV268" s="4"/>
    </row>
    <row r="269" spans="1:74" x14ac:dyDescent="0.25">
      <c r="A269" s="5" t="s">
        <v>664</v>
      </c>
      <c r="B269" s="5" t="s">
        <v>665</v>
      </c>
      <c r="C269" s="5" t="s">
        <v>666</v>
      </c>
      <c r="D269" s="5" t="s">
        <v>661</v>
      </c>
      <c r="E269" s="4"/>
      <c r="F269" s="4"/>
      <c r="G269" s="4"/>
      <c r="H269" s="4"/>
      <c r="I269" s="4">
        <v>3.2812000000000001</v>
      </c>
      <c r="J269" s="4"/>
      <c r="K269" s="4">
        <v>0.65620000000000001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>
        <v>1</v>
      </c>
      <c r="AB269" s="4">
        <v>1</v>
      </c>
      <c r="AC269" s="4"/>
      <c r="AD269" s="4"/>
      <c r="AE269" s="4"/>
      <c r="AF269" s="4"/>
      <c r="AG269" s="4">
        <v>1</v>
      </c>
      <c r="AH269" s="4"/>
      <c r="AI269" s="4"/>
      <c r="AJ269" s="4"/>
      <c r="AK269" s="4">
        <v>1.0630999999999999</v>
      </c>
      <c r="AL269" s="4"/>
      <c r="AM269" s="4"/>
      <c r="AN269" s="4"/>
      <c r="AO269" s="4"/>
      <c r="AP269" s="4"/>
      <c r="AQ269" s="4">
        <v>1.5435000000000001</v>
      </c>
      <c r="AR269" s="4"/>
      <c r="AS269" s="4"/>
      <c r="AT269" s="4"/>
      <c r="AU269" s="4"/>
      <c r="AV269" s="4"/>
      <c r="AW269" s="4"/>
      <c r="AX269" s="4"/>
      <c r="AY269" s="4">
        <v>9.2799999999999994E-2</v>
      </c>
      <c r="AZ269" s="4">
        <v>0.60599999999999998</v>
      </c>
      <c r="BA269" s="4"/>
      <c r="BB269" s="4"/>
      <c r="BC269" s="4">
        <v>28.61</v>
      </c>
      <c r="BD269" s="4"/>
      <c r="BE269" s="4"/>
      <c r="BF269" s="4"/>
      <c r="BG269" s="4"/>
      <c r="BH269" s="4">
        <v>18.18</v>
      </c>
      <c r="BI269" s="4">
        <v>450</v>
      </c>
      <c r="BJ269" s="4"/>
      <c r="BK269" s="4"/>
      <c r="BL269" s="4"/>
      <c r="BM269" s="4">
        <v>5.2</v>
      </c>
      <c r="BN269" s="4">
        <v>15</v>
      </c>
      <c r="BO269" s="4"/>
      <c r="BP269" s="4">
        <v>45</v>
      </c>
      <c r="BQ269" s="4">
        <v>6.38</v>
      </c>
      <c r="BR269" s="4">
        <v>252</v>
      </c>
      <c r="BS269" s="4"/>
      <c r="BT269" s="4"/>
      <c r="BU269" s="4"/>
      <c r="BV269" s="4"/>
    </row>
    <row r="270" spans="1:74" x14ac:dyDescent="0.25">
      <c r="A270" s="3" t="s">
        <v>667</v>
      </c>
      <c r="B270" s="3" t="s">
        <v>659</v>
      </c>
      <c r="C270" s="3" t="s">
        <v>668</v>
      </c>
      <c r="D270" s="3" t="s">
        <v>661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>
        <v>1</v>
      </c>
      <c r="V270" s="4"/>
      <c r="W270" s="4">
        <v>1</v>
      </c>
      <c r="X270" s="4"/>
      <c r="Y270" s="4"/>
      <c r="Z270" s="4"/>
      <c r="AA270" s="4"/>
      <c r="AB270" s="4"/>
      <c r="AC270" s="4">
        <v>1</v>
      </c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>
        <v>0.5</v>
      </c>
      <c r="AU270" s="4">
        <v>0.06</v>
      </c>
      <c r="AV270" s="4">
        <v>3.2000000000000001E-2</v>
      </c>
      <c r="AW270" s="4">
        <v>0.36</v>
      </c>
      <c r="AX270" s="4">
        <v>1.44</v>
      </c>
      <c r="AY270" s="4"/>
      <c r="AZ270" s="4"/>
      <c r="BA270" s="4"/>
      <c r="BB270" s="4"/>
      <c r="BC270" s="4"/>
      <c r="BD270" s="4"/>
      <c r="BE270" s="4">
        <v>7.2</v>
      </c>
      <c r="BF270" s="4">
        <v>4.8</v>
      </c>
      <c r="BG270" s="4">
        <v>60</v>
      </c>
      <c r="BH270" s="4"/>
      <c r="BI270" s="4"/>
      <c r="BJ270" s="4">
        <v>13</v>
      </c>
      <c r="BK270" s="4">
        <v>0.3</v>
      </c>
      <c r="BL270" s="4">
        <v>20</v>
      </c>
      <c r="BM270" s="4"/>
      <c r="BN270" s="4"/>
      <c r="BO270" s="4"/>
      <c r="BP270" s="4"/>
      <c r="BQ270" s="4"/>
      <c r="BR270" s="4"/>
      <c r="BS270" s="4"/>
      <c r="BT270" s="4"/>
      <c r="BU270" s="4"/>
      <c r="BV270" s="4"/>
    </row>
    <row r="271" spans="1:74" x14ac:dyDescent="0.25">
      <c r="A271" s="5" t="s">
        <v>669</v>
      </c>
      <c r="B271" s="5" t="s">
        <v>665</v>
      </c>
      <c r="C271" s="5" t="s">
        <v>670</v>
      </c>
      <c r="D271" s="5" t="s">
        <v>661</v>
      </c>
      <c r="E271" s="4"/>
      <c r="F271" s="4"/>
      <c r="G271" s="4">
        <v>0.85309999999999997</v>
      </c>
      <c r="H271" s="4"/>
      <c r="I271" s="4">
        <v>6.5625</v>
      </c>
      <c r="J271" s="4"/>
      <c r="K271" s="4">
        <v>0.65620000000000001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1</v>
      </c>
      <c r="Z271" s="4">
        <v>1</v>
      </c>
      <c r="AA271" s="4"/>
      <c r="AB271" s="4"/>
      <c r="AC271" s="4"/>
      <c r="AD271" s="4"/>
      <c r="AE271" s="4"/>
      <c r="AF271" s="4"/>
      <c r="AG271" s="4">
        <v>1</v>
      </c>
      <c r="AH271" s="4">
        <v>7.1999999999999998E-3</v>
      </c>
      <c r="AI271" s="4"/>
      <c r="AJ271" s="4"/>
      <c r="AK271" s="4">
        <v>0.94499999999999995</v>
      </c>
      <c r="AL271" s="4"/>
      <c r="AM271" s="4"/>
      <c r="AN271" s="4"/>
      <c r="AO271" s="4"/>
      <c r="AP271" s="4"/>
      <c r="AQ271" s="4">
        <v>3.5910000000000002</v>
      </c>
      <c r="AR271" s="4"/>
      <c r="AS271" s="4"/>
      <c r="AT271" s="4">
        <v>0.3</v>
      </c>
      <c r="AU271" s="4">
        <v>0.06</v>
      </c>
      <c r="AV271" s="4">
        <v>7.1999999999999998E-3</v>
      </c>
      <c r="AW271" s="4">
        <v>6.4799999999999996E-2</v>
      </c>
      <c r="AX271" s="4">
        <v>0.32400000000000001</v>
      </c>
      <c r="AY271" s="4"/>
      <c r="AZ271" s="4"/>
      <c r="BA271" s="4"/>
      <c r="BB271" s="4"/>
      <c r="BC271" s="4">
        <v>61.43</v>
      </c>
      <c r="BD271" s="4"/>
      <c r="BE271" s="4">
        <v>1.62</v>
      </c>
      <c r="BF271" s="4">
        <v>1.08</v>
      </c>
      <c r="BG271" s="4">
        <v>25</v>
      </c>
      <c r="BH271" s="4"/>
      <c r="BI271" s="4"/>
      <c r="BJ271" s="4">
        <v>11</v>
      </c>
      <c r="BK271" s="4">
        <v>0.3</v>
      </c>
      <c r="BL271" s="4"/>
      <c r="BM271" s="4">
        <v>5.09</v>
      </c>
      <c r="BN271" s="4">
        <v>16</v>
      </c>
      <c r="BO271" s="4">
        <v>20</v>
      </c>
      <c r="BP271" s="4">
        <v>50</v>
      </c>
      <c r="BQ271" s="4">
        <v>5.67</v>
      </c>
      <c r="BR271" s="4">
        <v>252</v>
      </c>
      <c r="BS271" s="4"/>
      <c r="BT271" s="4"/>
      <c r="BU271" s="4"/>
      <c r="BV271" s="4"/>
    </row>
    <row r="272" spans="1:74" x14ac:dyDescent="0.25">
      <c r="A272" s="3" t="s">
        <v>671</v>
      </c>
      <c r="B272" s="3" t="s">
        <v>659</v>
      </c>
      <c r="C272" s="3" t="s">
        <v>672</v>
      </c>
      <c r="D272" s="3" t="s">
        <v>661</v>
      </c>
      <c r="E272" s="4"/>
      <c r="F272" s="4">
        <v>32.8125</v>
      </c>
      <c r="G272" s="4"/>
      <c r="H272" s="4">
        <v>2.5</v>
      </c>
      <c r="I272" s="4"/>
      <c r="J272" s="4"/>
      <c r="K272" s="4"/>
      <c r="L272" s="4"/>
      <c r="M272" s="4"/>
      <c r="N272" s="4"/>
      <c r="O272" s="4"/>
      <c r="P272" s="4"/>
      <c r="Q272" s="4"/>
      <c r="R272" s="4">
        <v>2.1</v>
      </c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>
        <v>9</v>
      </c>
      <c r="AL272" s="4"/>
      <c r="AM272" s="4"/>
      <c r="AN272" s="4">
        <v>1</v>
      </c>
      <c r="AO272" s="4"/>
      <c r="AP272" s="4"/>
      <c r="AQ272" s="4">
        <v>33.9</v>
      </c>
      <c r="AR272" s="4">
        <v>17.850000000000001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>
        <v>282.5</v>
      </c>
      <c r="BD272" s="4"/>
      <c r="BE272" s="4"/>
      <c r="BF272" s="4"/>
      <c r="BG272" s="4"/>
      <c r="BH272" s="4"/>
      <c r="BI272" s="4"/>
      <c r="BJ272" s="4"/>
      <c r="BK272" s="4"/>
      <c r="BL272" s="4"/>
      <c r="BM272" s="4">
        <v>50.3</v>
      </c>
      <c r="BN272" s="4"/>
      <c r="BO272" s="4"/>
      <c r="BP272" s="4"/>
      <c r="BQ272" s="4">
        <v>54</v>
      </c>
      <c r="BR272" s="4"/>
      <c r="BS272" s="4"/>
      <c r="BT272" s="4">
        <v>442</v>
      </c>
      <c r="BU272" s="4"/>
      <c r="BV272" s="4">
        <v>330</v>
      </c>
    </row>
    <row r="273" spans="1:74" x14ac:dyDescent="0.25">
      <c r="A273" s="5" t="s">
        <v>673</v>
      </c>
      <c r="B273" s="5" t="s">
        <v>659</v>
      </c>
      <c r="C273" s="5" t="s">
        <v>674</v>
      </c>
      <c r="D273" s="5" t="s">
        <v>661</v>
      </c>
      <c r="E273" s="4"/>
      <c r="F273" s="4"/>
      <c r="G273" s="4"/>
      <c r="H273" s="4"/>
      <c r="I273" s="4">
        <v>3.2812000000000001</v>
      </c>
      <c r="J273" s="4"/>
      <c r="K273" s="4">
        <v>0.1313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1</v>
      </c>
      <c r="Z273" s="4">
        <v>1</v>
      </c>
      <c r="AA273" s="4"/>
      <c r="AB273" s="4"/>
      <c r="AC273" s="4"/>
      <c r="AD273" s="4">
        <v>1</v>
      </c>
      <c r="AE273" s="4"/>
      <c r="AF273" s="4"/>
      <c r="AG273" s="4">
        <v>1</v>
      </c>
      <c r="AH273" s="4"/>
      <c r="AI273" s="4"/>
      <c r="AJ273" s="4"/>
      <c r="AK273" s="4">
        <v>0.1181</v>
      </c>
      <c r="AL273" s="4"/>
      <c r="AM273" s="4"/>
      <c r="AN273" s="4"/>
      <c r="AO273" s="4"/>
      <c r="AP273" s="4"/>
      <c r="AQ273" s="4">
        <v>1.2915000000000001</v>
      </c>
      <c r="AR273" s="4"/>
      <c r="AS273" s="4"/>
      <c r="AT273" s="4">
        <v>0.3</v>
      </c>
      <c r="AU273" s="4">
        <v>0.06</v>
      </c>
      <c r="AV273" s="4">
        <v>0.12709999999999999</v>
      </c>
      <c r="AW273" s="4">
        <v>1.1443000000000001</v>
      </c>
      <c r="AX273" s="4">
        <v>5.7213000000000003</v>
      </c>
      <c r="AY273" s="4"/>
      <c r="AZ273" s="4"/>
      <c r="BA273" s="4"/>
      <c r="BB273" s="4"/>
      <c r="BC273" s="4">
        <v>26.51</v>
      </c>
      <c r="BD273" s="4"/>
      <c r="BE273" s="4">
        <v>28.61</v>
      </c>
      <c r="BF273" s="4">
        <v>19.07</v>
      </c>
      <c r="BG273" s="4">
        <v>45</v>
      </c>
      <c r="BH273" s="4"/>
      <c r="BI273" s="4"/>
      <c r="BJ273" s="4">
        <v>11</v>
      </c>
      <c r="BK273" s="4">
        <v>0.3</v>
      </c>
      <c r="BL273" s="4"/>
      <c r="BM273" s="4">
        <v>5.2</v>
      </c>
      <c r="BN273" s="4"/>
      <c r="BO273" s="4"/>
      <c r="BP273" s="4">
        <v>45</v>
      </c>
      <c r="BQ273" s="4">
        <v>0.71</v>
      </c>
      <c r="BR273" s="4"/>
      <c r="BS273" s="4"/>
      <c r="BT273" s="4"/>
      <c r="BU273" s="4"/>
      <c r="BV273" s="4"/>
    </row>
    <row r="274" spans="1:74" x14ac:dyDescent="0.25">
      <c r="A274" s="3" t="s">
        <v>675</v>
      </c>
      <c r="B274" s="3" t="s">
        <v>659</v>
      </c>
      <c r="C274" s="3" t="s">
        <v>676</v>
      </c>
      <c r="D274" s="3" t="s">
        <v>661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>
        <v>1</v>
      </c>
      <c r="V274" s="4"/>
      <c r="W274" s="4">
        <v>1</v>
      </c>
      <c r="X274" s="4"/>
      <c r="Y274" s="4"/>
      <c r="Z274" s="4"/>
      <c r="AA274" s="4"/>
      <c r="AB274" s="4">
        <v>1</v>
      </c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>
        <v>0.15670000000000001</v>
      </c>
      <c r="AW274" s="4">
        <v>1.7633000000000001</v>
      </c>
      <c r="AX274" s="4">
        <v>7.0533000000000001</v>
      </c>
      <c r="AY274" s="4">
        <v>5.2900000000000003E-2</v>
      </c>
      <c r="AZ274" s="4">
        <v>0.378</v>
      </c>
      <c r="BA274" s="4"/>
      <c r="BB274" s="4"/>
      <c r="BC274" s="4"/>
      <c r="BD274" s="4"/>
      <c r="BE274" s="4">
        <v>35.270000000000003</v>
      </c>
      <c r="BF274" s="4">
        <v>23.51</v>
      </c>
      <c r="BG274" s="4">
        <v>85</v>
      </c>
      <c r="BH274" s="4">
        <v>11.34</v>
      </c>
      <c r="BI274" s="4">
        <v>240</v>
      </c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</row>
  </sheetData>
  <autoFilter ref="A1:BV274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</sheetPr>
  <dimension ref="A1:B29"/>
  <sheetViews>
    <sheetView showGridLines="0" topLeftCell="A3" zoomScaleNormal="100" workbookViewId="0"/>
  </sheetViews>
  <sheetFormatPr baseColWidth="10" defaultColWidth="8.7109375" defaultRowHeight="15" x14ac:dyDescent="0.25"/>
  <cols>
    <col min="1" max="1" width="22" customWidth="1"/>
    <col min="2" max="2" width="120" customWidth="1"/>
  </cols>
  <sheetData>
    <row r="1" spans="1:2" ht="18" x14ac:dyDescent="0.25">
      <c r="A1" s="6" t="s">
        <v>677</v>
      </c>
    </row>
    <row r="2" spans="1:2" x14ac:dyDescent="0.25">
      <c r="A2" s="7" t="s">
        <v>678</v>
      </c>
    </row>
    <row r="4" spans="1:2" x14ac:dyDescent="0.25">
      <c r="A4" s="8" t="s">
        <v>679</v>
      </c>
      <c r="B4" s="9"/>
    </row>
    <row r="5" spans="1:2" ht="25.5" x14ac:dyDescent="0.25">
      <c r="A5" s="10" t="s">
        <v>680</v>
      </c>
      <c r="B5" s="11" t="s">
        <v>681</v>
      </c>
    </row>
    <row r="6" spans="1:2" x14ac:dyDescent="0.25">
      <c r="A6" s="10" t="s">
        <v>682</v>
      </c>
      <c r="B6" s="11" t="s">
        <v>683</v>
      </c>
    </row>
    <row r="7" spans="1:2" x14ac:dyDescent="0.25">
      <c r="A7" s="10" t="s">
        <v>684</v>
      </c>
      <c r="B7" s="11" t="s">
        <v>685</v>
      </c>
    </row>
    <row r="8" spans="1:2" x14ac:dyDescent="0.25">
      <c r="A8" s="10" t="s">
        <v>686</v>
      </c>
      <c r="B8" s="11" t="s">
        <v>687</v>
      </c>
    </row>
    <row r="9" spans="1:2" x14ac:dyDescent="0.25">
      <c r="A9" s="10" t="s">
        <v>688</v>
      </c>
      <c r="B9" s="11" t="s">
        <v>689</v>
      </c>
    </row>
    <row r="10" spans="1:2" x14ac:dyDescent="0.25">
      <c r="A10" s="10" t="s">
        <v>690</v>
      </c>
      <c r="B10" s="11" t="s">
        <v>691</v>
      </c>
    </row>
    <row r="11" spans="1:2" x14ac:dyDescent="0.25">
      <c r="A11" s="10"/>
      <c r="B11" s="11"/>
    </row>
    <row r="12" spans="1:2" x14ac:dyDescent="0.25">
      <c r="A12" s="8" t="s">
        <v>692</v>
      </c>
      <c r="B12" s="9"/>
    </row>
    <row r="13" spans="1:2" x14ac:dyDescent="0.25">
      <c r="A13" s="10" t="s">
        <v>693</v>
      </c>
      <c r="B13" s="11" t="s">
        <v>694</v>
      </c>
    </row>
    <row r="14" spans="1:2" ht="25.5" x14ac:dyDescent="0.25">
      <c r="A14" s="10" t="s">
        <v>695</v>
      </c>
      <c r="B14" s="11" t="s">
        <v>696</v>
      </c>
    </row>
    <row r="15" spans="1:2" x14ac:dyDescent="0.25">
      <c r="A15" s="10" t="s">
        <v>697</v>
      </c>
      <c r="B15" s="11" t="s">
        <v>698</v>
      </c>
    </row>
    <row r="16" spans="1:2" x14ac:dyDescent="0.25">
      <c r="A16" s="10"/>
      <c r="B16" s="11"/>
    </row>
    <row r="17" spans="1:2" x14ac:dyDescent="0.25">
      <c r="A17" s="8" t="s">
        <v>699</v>
      </c>
      <c r="B17" s="9"/>
    </row>
    <row r="18" spans="1:2" x14ac:dyDescent="0.25">
      <c r="A18" s="10" t="s">
        <v>700</v>
      </c>
      <c r="B18" s="11" t="s">
        <v>701</v>
      </c>
    </row>
    <row r="19" spans="1:2" x14ac:dyDescent="0.25">
      <c r="A19" s="10" t="s">
        <v>702</v>
      </c>
      <c r="B19" s="11" t="s">
        <v>703</v>
      </c>
    </row>
    <row r="20" spans="1:2" x14ac:dyDescent="0.25">
      <c r="A20" s="10" t="s">
        <v>704</v>
      </c>
      <c r="B20" s="11" t="s">
        <v>705</v>
      </c>
    </row>
    <row r="21" spans="1:2" ht="25.5" x14ac:dyDescent="0.25">
      <c r="A21" s="10" t="s">
        <v>706</v>
      </c>
      <c r="B21" s="11" t="s">
        <v>707</v>
      </c>
    </row>
    <row r="22" spans="1:2" x14ac:dyDescent="0.25">
      <c r="A22" s="10" t="s">
        <v>708</v>
      </c>
      <c r="B22" s="11" t="s">
        <v>709</v>
      </c>
    </row>
    <row r="23" spans="1:2" ht="25.5" x14ac:dyDescent="0.25">
      <c r="A23" s="10" t="s">
        <v>710</v>
      </c>
      <c r="B23" s="11" t="s">
        <v>711</v>
      </c>
    </row>
    <row r="24" spans="1:2" x14ac:dyDescent="0.25">
      <c r="A24" s="10" t="s">
        <v>712</v>
      </c>
      <c r="B24" s="11" t="s">
        <v>713</v>
      </c>
    </row>
    <row r="25" spans="1:2" ht="25.5" x14ac:dyDescent="0.25">
      <c r="A25" s="10" t="s">
        <v>714</v>
      </c>
      <c r="B25" s="11" t="s">
        <v>715</v>
      </c>
    </row>
    <row r="26" spans="1:2" x14ac:dyDescent="0.25">
      <c r="A26" s="10" t="s">
        <v>716</v>
      </c>
      <c r="B26" s="11" t="s">
        <v>717</v>
      </c>
    </row>
    <row r="27" spans="1:2" x14ac:dyDescent="0.25">
      <c r="A27" s="10" t="s">
        <v>718</v>
      </c>
      <c r="B27" s="11" t="s">
        <v>719</v>
      </c>
    </row>
    <row r="28" spans="1:2" x14ac:dyDescent="0.25">
      <c r="A28" s="10"/>
      <c r="B28" s="11"/>
    </row>
    <row r="29" spans="1:2" ht="25.5" x14ac:dyDescent="0.25">
      <c r="A29" s="10" t="s">
        <v>720</v>
      </c>
      <c r="B29" s="11" t="s">
        <v>721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2A44"/>
  </sheetPr>
  <dimension ref="A1:J274"/>
  <sheetViews>
    <sheetView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14" customWidth="1"/>
    <col min="4" max="4" width="26" customWidth="1"/>
    <col min="5" max="5" width="22" customWidth="1"/>
    <col min="6" max="6" width="16" customWidth="1"/>
    <col min="7" max="8" width="12" customWidth="1"/>
    <col min="9" max="10" width="16" customWidth="1"/>
  </cols>
  <sheetData>
    <row r="1" spans="1:10" ht="30" customHeight="1" x14ac:dyDescent="0.25">
      <c r="A1" s="1" t="s">
        <v>0</v>
      </c>
      <c r="B1" s="1" t="s">
        <v>722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</row>
    <row r="2" spans="1:10" x14ac:dyDescent="0.25">
      <c r="A2" s="5" t="str">
        <f>BASE_ARTICLE!A2</f>
        <v>ART-0001</v>
      </c>
      <c r="B2" s="5" t="str">
        <f>BASE_ARTICLE!B2</f>
        <v>Carte de visite</v>
      </c>
      <c r="C2" s="5" t="s">
        <v>731</v>
      </c>
      <c r="D2" s="5" t="s">
        <v>732</v>
      </c>
      <c r="E2" s="5" t="s">
        <v>733</v>
      </c>
      <c r="F2" s="5" t="s">
        <v>734</v>
      </c>
      <c r="G2" s="5">
        <f>COUNT(BASE_ARTICLE!E2:BB2)</f>
        <v>2</v>
      </c>
      <c r="H2" s="5">
        <f>COUNT(BASE_ARTICLE!BC2:BV2)</f>
        <v>2</v>
      </c>
      <c r="I2" s="12">
        <f>SUM(BASE_ARTICLE!BC2:BV2)</f>
        <v>0.09</v>
      </c>
      <c r="J2" s="12">
        <f t="shared" ref="J2:J65" si="0">I2/60</f>
        <v>1.5E-3</v>
      </c>
    </row>
    <row r="3" spans="1:10" x14ac:dyDescent="0.25">
      <c r="A3" s="5" t="str">
        <f>BASE_ARTICLE!A3</f>
        <v>ART-0002</v>
      </c>
      <c r="B3" s="5" t="str">
        <f>BASE_ARTICLE!B3</f>
        <v>Carte de visite</v>
      </c>
      <c r="C3" s="5" t="s">
        <v>731</v>
      </c>
      <c r="D3" s="5" t="s">
        <v>732</v>
      </c>
      <c r="E3" s="5" t="s">
        <v>733</v>
      </c>
      <c r="F3" s="5" t="s">
        <v>734</v>
      </c>
      <c r="G3" s="5">
        <f>COUNT(BASE_ARTICLE!E3:BB3)</f>
        <v>3</v>
      </c>
      <c r="H3" s="5">
        <f>COUNT(BASE_ARTICLE!BC3:BV3)</f>
        <v>3</v>
      </c>
      <c r="I3" s="12">
        <f>SUM(BASE_ARTICLE!BC3:BV3)</f>
        <v>0.23</v>
      </c>
      <c r="J3" s="12">
        <f t="shared" si="0"/>
        <v>3.8333333333333336E-3</v>
      </c>
    </row>
    <row r="4" spans="1:10" x14ac:dyDescent="0.25">
      <c r="A4" s="5" t="str">
        <f>BASE_ARTICLE!A4</f>
        <v>ART-0003</v>
      </c>
      <c r="B4" s="5" t="str">
        <f>BASE_ARTICLE!B4</f>
        <v>Carte de visite</v>
      </c>
      <c r="C4" s="5" t="s">
        <v>731</v>
      </c>
      <c r="D4" s="5" t="s">
        <v>732</v>
      </c>
      <c r="E4" s="5" t="s">
        <v>733</v>
      </c>
      <c r="F4" s="5" t="s">
        <v>734</v>
      </c>
      <c r="G4" s="5">
        <f>COUNT(BASE_ARTICLE!E4:BB4)</f>
        <v>3</v>
      </c>
      <c r="H4" s="5">
        <f>COUNT(BASE_ARTICLE!BC4:BV4)</f>
        <v>3</v>
      </c>
      <c r="I4" s="12">
        <f>SUM(BASE_ARTICLE!BC4:BV4)</f>
        <v>0.23</v>
      </c>
      <c r="J4" s="12">
        <f t="shared" si="0"/>
        <v>3.8333333333333336E-3</v>
      </c>
    </row>
    <row r="5" spans="1:10" x14ac:dyDescent="0.25">
      <c r="A5" s="5" t="str">
        <f>BASE_ARTICLE!A5</f>
        <v>ART-0004</v>
      </c>
      <c r="B5" s="5" t="str">
        <f>BASE_ARTICLE!B5</f>
        <v>Carte de visite</v>
      </c>
      <c r="C5" s="5" t="s">
        <v>731</v>
      </c>
      <c r="D5" s="5" t="s">
        <v>732</v>
      </c>
      <c r="E5" s="5" t="s">
        <v>733</v>
      </c>
      <c r="F5" s="5" t="s">
        <v>734</v>
      </c>
      <c r="G5" s="5">
        <f>COUNT(BASE_ARTICLE!E5:BB5)</f>
        <v>4</v>
      </c>
      <c r="H5" s="5">
        <f>COUNT(BASE_ARTICLE!BC5:BV5)</f>
        <v>4</v>
      </c>
      <c r="I5" s="12">
        <f>SUM(BASE_ARTICLE!BC5:BV5)</f>
        <v>0.38</v>
      </c>
      <c r="J5" s="12">
        <f t="shared" si="0"/>
        <v>6.3333333333333332E-3</v>
      </c>
    </row>
    <row r="6" spans="1:10" x14ac:dyDescent="0.25">
      <c r="A6" s="5" t="str">
        <f>BASE_ARTICLE!A6</f>
        <v>ART-0005</v>
      </c>
      <c r="B6" s="5" t="str">
        <f>BASE_ARTICLE!B6</f>
        <v>Carte de visite</v>
      </c>
      <c r="C6" s="5" t="s">
        <v>731</v>
      </c>
      <c r="D6" s="5" t="s">
        <v>732</v>
      </c>
      <c r="E6" s="5" t="s">
        <v>733</v>
      </c>
      <c r="F6" s="5" t="s">
        <v>734</v>
      </c>
      <c r="G6" s="5">
        <f>COUNT(BASE_ARTICLE!E6:BB6)</f>
        <v>2</v>
      </c>
      <c r="H6" s="5">
        <f>COUNT(BASE_ARTICLE!BC6:BV6)</f>
        <v>2</v>
      </c>
      <c r="I6" s="12">
        <f>SUM(BASE_ARTICLE!BC6:BV6)</f>
        <v>0.14000000000000001</v>
      </c>
      <c r="J6" s="12">
        <f t="shared" si="0"/>
        <v>2.3333333333333335E-3</v>
      </c>
    </row>
    <row r="7" spans="1:10" x14ac:dyDescent="0.25">
      <c r="A7" s="5" t="str">
        <f>BASE_ARTICLE!A7</f>
        <v>ART-0006</v>
      </c>
      <c r="B7" s="5" t="str">
        <f>BASE_ARTICLE!B7</f>
        <v>Carte de visite</v>
      </c>
      <c r="C7" s="5" t="s">
        <v>731</v>
      </c>
      <c r="D7" s="5" t="s">
        <v>732</v>
      </c>
      <c r="E7" s="5" t="s">
        <v>733</v>
      </c>
      <c r="F7" s="5" t="s">
        <v>734</v>
      </c>
      <c r="G7" s="5">
        <f>COUNT(BASE_ARTICLE!E7:BB7)</f>
        <v>3</v>
      </c>
      <c r="H7" s="5">
        <f>COUNT(BASE_ARTICLE!BC7:BV7)</f>
        <v>3</v>
      </c>
      <c r="I7" s="12">
        <f>SUM(BASE_ARTICLE!BC7:BV7)</f>
        <v>0.41000000000000003</v>
      </c>
      <c r="J7" s="12">
        <f t="shared" si="0"/>
        <v>6.8333333333333336E-3</v>
      </c>
    </row>
    <row r="8" spans="1:10" x14ac:dyDescent="0.25">
      <c r="A8" s="5" t="str">
        <f>BASE_ARTICLE!A8</f>
        <v>ART-0007</v>
      </c>
      <c r="B8" s="5" t="str">
        <f>BASE_ARTICLE!B8</f>
        <v>Carte de visite</v>
      </c>
      <c r="C8" s="5" t="s">
        <v>731</v>
      </c>
      <c r="D8" s="5" t="s">
        <v>732</v>
      </c>
      <c r="E8" s="5" t="s">
        <v>733</v>
      </c>
      <c r="F8" s="5" t="s">
        <v>734</v>
      </c>
      <c r="G8" s="5">
        <f>COUNT(BASE_ARTICLE!E8:BB8)</f>
        <v>3</v>
      </c>
      <c r="H8" s="5">
        <f>COUNT(BASE_ARTICLE!BC8:BV8)</f>
        <v>3</v>
      </c>
      <c r="I8" s="12">
        <f>SUM(BASE_ARTICLE!BC8:BV8)</f>
        <v>0.41000000000000003</v>
      </c>
      <c r="J8" s="12">
        <f t="shared" si="0"/>
        <v>6.8333333333333336E-3</v>
      </c>
    </row>
    <row r="9" spans="1:10" x14ac:dyDescent="0.25">
      <c r="A9" s="5" t="str">
        <f>BASE_ARTICLE!A9</f>
        <v>ART-0008</v>
      </c>
      <c r="B9" s="5" t="str">
        <f>BASE_ARTICLE!B9</f>
        <v>Carte de visite</v>
      </c>
      <c r="C9" s="5" t="s">
        <v>731</v>
      </c>
      <c r="D9" s="5" t="s">
        <v>732</v>
      </c>
      <c r="E9" s="5" t="s">
        <v>733</v>
      </c>
      <c r="F9" s="5" t="s">
        <v>734</v>
      </c>
      <c r="G9" s="5">
        <f>COUNT(BASE_ARTICLE!E9:BB9)</f>
        <v>4</v>
      </c>
      <c r="H9" s="5">
        <f>COUNT(BASE_ARTICLE!BC9:BV9)</f>
        <v>4</v>
      </c>
      <c r="I9" s="12">
        <f>SUM(BASE_ARTICLE!BC9:BV9)</f>
        <v>0.56000000000000005</v>
      </c>
      <c r="J9" s="12">
        <f t="shared" si="0"/>
        <v>9.3333333333333341E-3</v>
      </c>
    </row>
    <row r="10" spans="1:10" x14ac:dyDescent="0.25">
      <c r="A10" s="5" t="str">
        <f>BASE_ARTICLE!A10</f>
        <v>ART-0009</v>
      </c>
      <c r="B10" s="5" t="str">
        <f>BASE_ARTICLE!B10</f>
        <v>Carte de visite</v>
      </c>
      <c r="C10" s="5" t="s">
        <v>731</v>
      </c>
      <c r="D10" s="5" t="s">
        <v>732</v>
      </c>
      <c r="E10" s="5" t="s">
        <v>733</v>
      </c>
      <c r="F10" s="5" t="s">
        <v>734</v>
      </c>
      <c r="G10" s="5">
        <f>COUNT(BASE_ARTICLE!E10:BB10)</f>
        <v>2</v>
      </c>
      <c r="H10" s="5">
        <f>COUNT(BASE_ARTICLE!BC10:BV10)</f>
        <v>2</v>
      </c>
      <c r="I10" s="12">
        <f>SUM(BASE_ARTICLE!BC10:BV10)</f>
        <v>0.09</v>
      </c>
      <c r="J10" s="12">
        <f t="shared" si="0"/>
        <v>1.5E-3</v>
      </c>
    </row>
    <row r="11" spans="1:10" x14ac:dyDescent="0.25">
      <c r="A11" s="5" t="str">
        <f>BASE_ARTICLE!A11</f>
        <v>ART-0010</v>
      </c>
      <c r="B11" s="5" t="str">
        <f>BASE_ARTICLE!B11</f>
        <v>Carte de visite</v>
      </c>
      <c r="C11" s="5" t="s">
        <v>731</v>
      </c>
      <c r="D11" s="5" t="s">
        <v>732</v>
      </c>
      <c r="E11" s="5" t="s">
        <v>733</v>
      </c>
      <c r="F11" s="5" t="s">
        <v>734</v>
      </c>
      <c r="G11" s="5">
        <f>COUNT(BASE_ARTICLE!E11:BB11)</f>
        <v>3</v>
      </c>
      <c r="H11" s="5">
        <f>COUNT(BASE_ARTICLE!BC11:BV11)</f>
        <v>3</v>
      </c>
      <c r="I11" s="12">
        <f>SUM(BASE_ARTICLE!BC11:BV11)</f>
        <v>0.23</v>
      </c>
      <c r="J11" s="12">
        <f t="shared" si="0"/>
        <v>3.8333333333333336E-3</v>
      </c>
    </row>
    <row r="12" spans="1:10" x14ac:dyDescent="0.25">
      <c r="A12" s="5" t="str">
        <f>BASE_ARTICLE!A12</f>
        <v>ART-0011</v>
      </c>
      <c r="B12" s="5" t="str">
        <f>BASE_ARTICLE!B12</f>
        <v>Carte de visite</v>
      </c>
      <c r="C12" s="5" t="s">
        <v>731</v>
      </c>
      <c r="D12" s="5" t="s">
        <v>732</v>
      </c>
      <c r="E12" s="5" t="s">
        <v>733</v>
      </c>
      <c r="F12" s="5" t="s">
        <v>734</v>
      </c>
      <c r="G12" s="5">
        <f>COUNT(BASE_ARTICLE!E12:BB12)</f>
        <v>3</v>
      </c>
      <c r="H12" s="5">
        <f>COUNT(BASE_ARTICLE!BC12:BV12)</f>
        <v>3</v>
      </c>
      <c r="I12" s="12">
        <f>SUM(BASE_ARTICLE!BC12:BV12)</f>
        <v>0.23</v>
      </c>
      <c r="J12" s="12">
        <f t="shared" si="0"/>
        <v>3.8333333333333336E-3</v>
      </c>
    </row>
    <row r="13" spans="1:10" x14ac:dyDescent="0.25">
      <c r="A13" s="5" t="str">
        <f>BASE_ARTICLE!A13</f>
        <v>ART-0012</v>
      </c>
      <c r="B13" s="5" t="str">
        <f>BASE_ARTICLE!B13</f>
        <v>Carte de visite</v>
      </c>
      <c r="C13" s="5" t="s">
        <v>731</v>
      </c>
      <c r="D13" s="5" t="s">
        <v>732</v>
      </c>
      <c r="E13" s="5" t="s">
        <v>733</v>
      </c>
      <c r="F13" s="5" t="s">
        <v>734</v>
      </c>
      <c r="G13" s="5">
        <f>COUNT(BASE_ARTICLE!E13:BB13)</f>
        <v>4</v>
      </c>
      <c r="H13" s="5">
        <f>COUNT(BASE_ARTICLE!BC13:BV13)</f>
        <v>4</v>
      </c>
      <c r="I13" s="12">
        <f>SUM(BASE_ARTICLE!BC13:BV13)</f>
        <v>0.38</v>
      </c>
      <c r="J13" s="12">
        <f t="shared" si="0"/>
        <v>6.3333333333333332E-3</v>
      </c>
    </row>
    <row r="14" spans="1:10" x14ac:dyDescent="0.25">
      <c r="A14" s="5" t="str">
        <f>BASE_ARTICLE!A14</f>
        <v>ART-0013</v>
      </c>
      <c r="B14" s="5" t="str">
        <f>BASE_ARTICLE!B14</f>
        <v>Carte de visite</v>
      </c>
      <c r="C14" s="5" t="s">
        <v>731</v>
      </c>
      <c r="D14" s="5" t="s">
        <v>732</v>
      </c>
      <c r="E14" s="5" t="s">
        <v>733</v>
      </c>
      <c r="F14" s="5" t="s">
        <v>734</v>
      </c>
      <c r="G14" s="5">
        <f>COUNT(BASE_ARTICLE!E14:BB14)</f>
        <v>2</v>
      </c>
      <c r="H14" s="5">
        <f>COUNT(BASE_ARTICLE!BC14:BV14)</f>
        <v>2</v>
      </c>
      <c r="I14" s="12">
        <f>SUM(BASE_ARTICLE!BC14:BV14)</f>
        <v>0.14000000000000001</v>
      </c>
      <c r="J14" s="12">
        <f t="shared" si="0"/>
        <v>2.3333333333333335E-3</v>
      </c>
    </row>
    <row r="15" spans="1:10" x14ac:dyDescent="0.25">
      <c r="A15" s="5" t="str">
        <f>BASE_ARTICLE!A15</f>
        <v>ART-0014</v>
      </c>
      <c r="B15" s="5" t="str">
        <f>BASE_ARTICLE!B15</f>
        <v>Carte de visite</v>
      </c>
      <c r="C15" s="5" t="s">
        <v>731</v>
      </c>
      <c r="D15" s="5" t="s">
        <v>732</v>
      </c>
      <c r="E15" s="5" t="s">
        <v>733</v>
      </c>
      <c r="F15" s="5" t="s">
        <v>734</v>
      </c>
      <c r="G15" s="5">
        <f>COUNT(BASE_ARTICLE!E15:BB15)</f>
        <v>3</v>
      </c>
      <c r="H15" s="5">
        <f>COUNT(BASE_ARTICLE!BC15:BV15)</f>
        <v>3</v>
      </c>
      <c r="I15" s="12">
        <f>SUM(BASE_ARTICLE!BC15:BV15)</f>
        <v>0.41000000000000003</v>
      </c>
      <c r="J15" s="12">
        <f t="shared" si="0"/>
        <v>6.8333333333333336E-3</v>
      </c>
    </row>
    <row r="16" spans="1:10" x14ac:dyDescent="0.25">
      <c r="A16" s="5" t="str">
        <f>BASE_ARTICLE!A16</f>
        <v>ART-0015</v>
      </c>
      <c r="B16" s="5" t="str">
        <f>BASE_ARTICLE!B16</f>
        <v>Carte de visite</v>
      </c>
      <c r="C16" s="5" t="s">
        <v>731</v>
      </c>
      <c r="D16" s="5" t="s">
        <v>732</v>
      </c>
      <c r="E16" s="5" t="s">
        <v>733</v>
      </c>
      <c r="F16" s="5" t="s">
        <v>734</v>
      </c>
      <c r="G16" s="5">
        <f>COUNT(BASE_ARTICLE!E16:BB16)</f>
        <v>3</v>
      </c>
      <c r="H16" s="5">
        <f>COUNT(BASE_ARTICLE!BC16:BV16)</f>
        <v>3</v>
      </c>
      <c r="I16" s="12">
        <f>SUM(BASE_ARTICLE!BC16:BV16)</f>
        <v>0.41000000000000003</v>
      </c>
      <c r="J16" s="12">
        <f t="shared" si="0"/>
        <v>6.8333333333333336E-3</v>
      </c>
    </row>
    <row r="17" spans="1:10" x14ac:dyDescent="0.25">
      <c r="A17" s="5" t="str">
        <f>BASE_ARTICLE!A17</f>
        <v>ART-0016</v>
      </c>
      <c r="B17" s="5" t="str">
        <f>BASE_ARTICLE!B17</f>
        <v>Carte de visite</v>
      </c>
      <c r="C17" s="5" t="s">
        <v>731</v>
      </c>
      <c r="D17" s="5" t="s">
        <v>732</v>
      </c>
      <c r="E17" s="5" t="s">
        <v>733</v>
      </c>
      <c r="F17" s="5" t="s">
        <v>734</v>
      </c>
      <c r="G17" s="5">
        <f>COUNT(BASE_ARTICLE!E17:BB17)</f>
        <v>4</v>
      </c>
      <c r="H17" s="5">
        <f>COUNT(BASE_ARTICLE!BC17:BV17)</f>
        <v>4</v>
      </c>
      <c r="I17" s="12">
        <f>SUM(BASE_ARTICLE!BC17:BV17)</f>
        <v>0.56000000000000005</v>
      </c>
      <c r="J17" s="12">
        <f t="shared" si="0"/>
        <v>9.3333333333333341E-3</v>
      </c>
    </row>
    <row r="18" spans="1:10" x14ac:dyDescent="0.25">
      <c r="A18" s="5" t="str">
        <f>BASE_ARTICLE!A18</f>
        <v>ART-0017</v>
      </c>
      <c r="B18" s="5" t="str">
        <f>BASE_ARTICLE!B18</f>
        <v>Flyer</v>
      </c>
      <c r="C18" s="5" t="s">
        <v>731</v>
      </c>
      <c r="D18" s="5" t="s">
        <v>732</v>
      </c>
      <c r="E18" s="5" t="s">
        <v>735</v>
      </c>
      <c r="F18" s="5" t="s">
        <v>734</v>
      </c>
      <c r="G18" s="5">
        <f>COUNT(BASE_ARTICLE!E18:BB18)</f>
        <v>2</v>
      </c>
      <c r="H18" s="5">
        <f>COUNT(BASE_ARTICLE!BC18:BV18)</f>
        <v>2</v>
      </c>
      <c r="I18" s="12">
        <f>SUM(BASE_ARTICLE!BC18:BV18)</f>
        <v>0.19</v>
      </c>
      <c r="J18" s="12">
        <f t="shared" si="0"/>
        <v>3.1666666666666666E-3</v>
      </c>
    </row>
    <row r="19" spans="1:10" x14ac:dyDescent="0.25">
      <c r="A19" s="5" t="str">
        <f>BASE_ARTICLE!A19</f>
        <v>ART-0018</v>
      </c>
      <c r="B19" s="5" t="str">
        <f>BASE_ARTICLE!B19</f>
        <v>Flyer</v>
      </c>
      <c r="C19" s="5" t="s">
        <v>731</v>
      </c>
      <c r="D19" s="5" t="s">
        <v>732</v>
      </c>
      <c r="E19" s="5" t="s">
        <v>735</v>
      </c>
      <c r="F19" s="5" t="s">
        <v>734</v>
      </c>
      <c r="G19" s="5">
        <f>COUNT(BASE_ARTICLE!E19:BB19)</f>
        <v>2</v>
      </c>
      <c r="H19" s="5">
        <f>COUNT(BASE_ARTICLE!BC19:BV19)</f>
        <v>2</v>
      </c>
      <c r="I19" s="12">
        <f>SUM(BASE_ARTICLE!BC19:BV19)</f>
        <v>0.32</v>
      </c>
      <c r="J19" s="12">
        <f t="shared" si="0"/>
        <v>5.3333333333333332E-3</v>
      </c>
    </row>
    <row r="20" spans="1:10" x14ac:dyDescent="0.25">
      <c r="A20" s="5" t="str">
        <f>BASE_ARTICLE!A20</f>
        <v>ART-0019</v>
      </c>
      <c r="B20" s="5" t="str">
        <f>BASE_ARTICLE!B20</f>
        <v>Flyer</v>
      </c>
      <c r="C20" s="5" t="s">
        <v>731</v>
      </c>
      <c r="D20" s="5" t="s">
        <v>732</v>
      </c>
      <c r="E20" s="5" t="s">
        <v>735</v>
      </c>
      <c r="F20" s="5" t="s">
        <v>734</v>
      </c>
      <c r="G20" s="5">
        <f>COUNT(BASE_ARTICLE!E20:BB20)</f>
        <v>2</v>
      </c>
      <c r="H20" s="5">
        <f>COUNT(BASE_ARTICLE!BC20:BV20)</f>
        <v>2</v>
      </c>
      <c r="I20" s="12">
        <f>SUM(BASE_ARTICLE!BC20:BV20)</f>
        <v>0.19</v>
      </c>
      <c r="J20" s="12">
        <f t="shared" si="0"/>
        <v>3.1666666666666666E-3</v>
      </c>
    </row>
    <row r="21" spans="1:10" x14ac:dyDescent="0.25">
      <c r="A21" s="5" t="str">
        <f>BASE_ARTICLE!A21</f>
        <v>ART-0020</v>
      </c>
      <c r="B21" s="5" t="str">
        <f>BASE_ARTICLE!B21</f>
        <v>Flyer</v>
      </c>
      <c r="C21" s="5" t="s">
        <v>731</v>
      </c>
      <c r="D21" s="5" t="s">
        <v>732</v>
      </c>
      <c r="E21" s="5" t="s">
        <v>735</v>
      </c>
      <c r="F21" s="5" t="s">
        <v>734</v>
      </c>
      <c r="G21" s="5">
        <f>COUNT(BASE_ARTICLE!E21:BB21)</f>
        <v>2</v>
      </c>
      <c r="H21" s="5">
        <f>COUNT(BASE_ARTICLE!BC21:BV21)</f>
        <v>2</v>
      </c>
      <c r="I21" s="12">
        <f>SUM(BASE_ARTICLE!BC21:BV21)</f>
        <v>0.32</v>
      </c>
      <c r="J21" s="12">
        <f t="shared" si="0"/>
        <v>5.3333333333333332E-3</v>
      </c>
    </row>
    <row r="22" spans="1:10" x14ac:dyDescent="0.25">
      <c r="A22" s="5" t="str">
        <f>BASE_ARTICLE!A22</f>
        <v>ART-0021</v>
      </c>
      <c r="B22" s="5" t="str">
        <f>BASE_ARTICLE!B22</f>
        <v>Flyer</v>
      </c>
      <c r="C22" s="5" t="s">
        <v>731</v>
      </c>
      <c r="D22" s="5" t="s">
        <v>732</v>
      </c>
      <c r="E22" s="5" t="s">
        <v>735</v>
      </c>
      <c r="F22" s="5" t="s">
        <v>734</v>
      </c>
      <c r="G22" s="5">
        <f>COUNT(BASE_ARTICLE!E22:BB22)</f>
        <v>2</v>
      </c>
      <c r="H22" s="5">
        <f>COUNT(BASE_ARTICLE!BC22:BV22)</f>
        <v>2</v>
      </c>
      <c r="I22" s="12">
        <f>SUM(BASE_ARTICLE!BC22:BV22)</f>
        <v>0.19</v>
      </c>
      <c r="J22" s="12">
        <f t="shared" si="0"/>
        <v>3.1666666666666666E-3</v>
      </c>
    </row>
    <row r="23" spans="1:10" x14ac:dyDescent="0.25">
      <c r="A23" s="5" t="str">
        <f>BASE_ARTICLE!A23</f>
        <v>ART-0022</v>
      </c>
      <c r="B23" s="5" t="str">
        <f>BASE_ARTICLE!B23</f>
        <v>Flyer</v>
      </c>
      <c r="C23" s="5" t="s">
        <v>731</v>
      </c>
      <c r="D23" s="5" t="s">
        <v>732</v>
      </c>
      <c r="E23" s="5" t="s">
        <v>735</v>
      </c>
      <c r="F23" s="5" t="s">
        <v>734</v>
      </c>
      <c r="G23" s="5">
        <f>COUNT(BASE_ARTICLE!E23:BB23)</f>
        <v>2</v>
      </c>
      <c r="H23" s="5">
        <f>COUNT(BASE_ARTICLE!BC23:BV23)</f>
        <v>2</v>
      </c>
      <c r="I23" s="12">
        <f>SUM(BASE_ARTICLE!BC23:BV23)</f>
        <v>0.32</v>
      </c>
      <c r="J23" s="12">
        <f t="shared" si="0"/>
        <v>5.3333333333333332E-3</v>
      </c>
    </row>
    <row r="24" spans="1:10" x14ac:dyDescent="0.25">
      <c r="A24" s="5" t="str">
        <f>BASE_ARTICLE!A24</f>
        <v>ART-0023</v>
      </c>
      <c r="B24" s="5" t="str">
        <f>BASE_ARTICLE!B24</f>
        <v>Flyer</v>
      </c>
      <c r="C24" s="5" t="s">
        <v>731</v>
      </c>
      <c r="D24" s="5" t="s">
        <v>732</v>
      </c>
      <c r="E24" s="5" t="s">
        <v>736</v>
      </c>
      <c r="F24" s="5" t="s">
        <v>734</v>
      </c>
      <c r="G24" s="5">
        <f>COUNT(BASE_ARTICLE!E24:BB24)</f>
        <v>2</v>
      </c>
      <c r="H24" s="5">
        <f>COUNT(BASE_ARTICLE!BC24:BV24)</f>
        <v>2</v>
      </c>
      <c r="I24" s="12">
        <f>SUM(BASE_ARTICLE!BC24:BV24)</f>
        <v>0.34</v>
      </c>
      <c r="J24" s="12">
        <f t="shared" si="0"/>
        <v>5.6666666666666671E-3</v>
      </c>
    </row>
    <row r="25" spans="1:10" x14ac:dyDescent="0.25">
      <c r="A25" s="5" t="str">
        <f>BASE_ARTICLE!A25</f>
        <v>ART-0024</v>
      </c>
      <c r="B25" s="5" t="str">
        <f>BASE_ARTICLE!B25</f>
        <v>Flyer</v>
      </c>
      <c r="C25" s="5" t="s">
        <v>731</v>
      </c>
      <c r="D25" s="5" t="s">
        <v>732</v>
      </c>
      <c r="E25" s="5" t="s">
        <v>736</v>
      </c>
      <c r="F25" s="5" t="s">
        <v>734</v>
      </c>
      <c r="G25" s="5">
        <f>COUNT(BASE_ARTICLE!E25:BB25)</f>
        <v>2</v>
      </c>
      <c r="H25" s="5">
        <f>COUNT(BASE_ARTICLE!BC25:BV25)</f>
        <v>2</v>
      </c>
      <c r="I25" s="12">
        <f>SUM(BASE_ARTICLE!BC25:BV25)</f>
        <v>0.61</v>
      </c>
      <c r="J25" s="12">
        <f t="shared" si="0"/>
        <v>1.0166666666666666E-2</v>
      </c>
    </row>
    <row r="26" spans="1:10" x14ac:dyDescent="0.25">
      <c r="A26" s="5" t="str">
        <f>BASE_ARTICLE!A26</f>
        <v>ART-0025</v>
      </c>
      <c r="B26" s="5" t="str">
        <f>BASE_ARTICLE!B26</f>
        <v>Flyer</v>
      </c>
      <c r="C26" s="5" t="s">
        <v>731</v>
      </c>
      <c r="D26" s="5" t="s">
        <v>732</v>
      </c>
      <c r="E26" s="5" t="s">
        <v>736</v>
      </c>
      <c r="F26" s="5" t="s">
        <v>734</v>
      </c>
      <c r="G26" s="5">
        <f>COUNT(BASE_ARTICLE!E26:BB26)</f>
        <v>2</v>
      </c>
      <c r="H26" s="5">
        <f>COUNT(BASE_ARTICLE!BC26:BV26)</f>
        <v>2</v>
      </c>
      <c r="I26" s="12">
        <f>SUM(BASE_ARTICLE!BC26:BV26)</f>
        <v>0.34</v>
      </c>
      <c r="J26" s="12">
        <f t="shared" si="0"/>
        <v>5.6666666666666671E-3</v>
      </c>
    </row>
    <row r="27" spans="1:10" x14ac:dyDescent="0.25">
      <c r="A27" s="5" t="str">
        <f>BASE_ARTICLE!A27</f>
        <v>ART-0026</v>
      </c>
      <c r="B27" s="5" t="str">
        <f>BASE_ARTICLE!B27</f>
        <v>Flyer</v>
      </c>
      <c r="C27" s="5" t="s">
        <v>731</v>
      </c>
      <c r="D27" s="5" t="s">
        <v>732</v>
      </c>
      <c r="E27" s="5" t="s">
        <v>736</v>
      </c>
      <c r="F27" s="5" t="s">
        <v>734</v>
      </c>
      <c r="G27" s="5">
        <f>COUNT(BASE_ARTICLE!E27:BB27)</f>
        <v>2</v>
      </c>
      <c r="H27" s="5">
        <f>COUNT(BASE_ARTICLE!BC27:BV27)</f>
        <v>2</v>
      </c>
      <c r="I27" s="12">
        <f>SUM(BASE_ARTICLE!BC27:BV27)</f>
        <v>0.61</v>
      </c>
      <c r="J27" s="12">
        <f t="shared" si="0"/>
        <v>1.0166666666666666E-2</v>
      </c>
    </row>
    <row r="28" spans="1:10" x14ac:dyDescent="0.25">
      <c r="A28" s="5" t="str">
        <f>BASE_ARTICLE!A28</f>
        <v>ART-0027</v>
      </c>
      <c r="B28" s="5" t="str">
        <f>BASE_ARTICLE!B28</f>
        <v>Flyer</v>
      </c>
      <c r="C28" s="5" t="s">
        <v>731</v>
      </c>
      <c r="D28" s="5" t="s">
        <v>732</v>
      </c>
      <c r="E28" s="5" t="s">
        <v>736</v>
      </c>
      <c r="F28" s="5" t="s">
        <v>734</v>
      </c>
      <c r="G28" s="5">
        <f>COUNT(BASE_ARTICLE!E28:BB28)</f>
        <v>2</v>
      </c>
      <c r="H28" s="5">
        <f>COUNT(BASE_ARTICLE!BC28:BV28)</f>
        <v>2</v>
      </c>
      <c r="I28" s="12">
        <f>SUM(BASE_ARTICLE!BC28:BV28)</f>
        <v>0.34</v>
      </c>
      <c r="J28" s="12">
        <f t="shared" si="0"/>
        <v>5.6666666666666671E-3</v>
      </c>
    </row>
    <row r="29" spans="1:10" x14ac:dyDescent="0.25">
      <c r="A29" s="5" t="str">
        <f>BASE_ARTICLE!A29</f>
        <v>ART-0028</v>
      </c>
      <c r="B29" s="5" t="str">
        <f>BASE_ARTICLE!B29</f>
        <v>Flyer</v>
      </c>
      <c r="C29" s="5" t="s">
        <v>731</v>
      </c>
      <c r="D29" s="5" t="s">
        <v>732</v>
      </c>
      <c r="E29" s="5" t="s">
        <v>736</v>
      </c>
      <c r="F29" s="5" t="s">
        <v>734</v>
      </c>
      <c r="G29" s="5">
        <f>COUNT(BASE_ARTICLE!E29:BB29)</f>
        <v>2</v>
      </c>
      <c r="H29" s="5">
        <f>COUNT(BASE_ARTICLE!BC29:BV29)</f>
        <v>2</v>
      </c>
      <c r="I29" s="12">
        <f>SUM(BASE_ARTICLE!BC29:BV29)</f>
        <v>0.61</v>
      </c>
      <c r="J29" s="12">
        <f t="shared" si="0"/>
        <v>1.0166666666666666E-2</v>
      </c>
    </row>
    <row r="30" spans="1:10" x14ac:dyDescent="0.25">
      <c r="A30" s="5" t="str">
        <f>BASE_ARTICLE!A30</f>
        <v>ART-0029</v>
      </c>
      <c r="B30" s="5" t="str">
        <f>BASE_ARTICLE!B30</f>
        <v>Flyer</v>
      </c>
      <c r="C30" s="5" t="s">
        <v>731</v>
      </c>
      <c r="D30" s="5" t="s">
        <v>732</v>
      </c>
      <c r="E30" s="5" t="s">
        <v>737</v>
      </c>
      <c r="F30" s="5" t="s">
        <v>734</v>
      </c>
      <c r="G30" s="5">
        <f>COUNT(BASE_ARTICLE!E30:BB30)</f>
        <v>2</v>
      </c>
      <c r="H30" s="5">
        <f>COUNT(BASE_ARTICLE!BC30:BV30)</f>
        <v>2</v>
      </c>
      <c r="I30" s="12">
        <f>SUM(BASE_ARTICLE!BC30:BV30)</f>
        <v>0.67</v>
      </c>
      <c r="J30" s="12">
        <f t="shared" si="0"/>
        <v>1.1166666666666667E-2</v>
      </c>
    </row>
    <row r="31" spans="1:10" x14ac:dyDescent="0.25">
      <c r="A31" s="5" t="str">
        <f>BASE_ARTICLE!A31</f>
        <v>ART-0030</v>
      </c>
      <c r="B31" s="5" t="str">
        <f>BASE_ARTICLE!B31</f>
        <v>Flyer</v>
      </c>
      <c r="C31" s="5" t="s">
        <v>731</v>
      </c>
      <c r="D31" s="5" t="s">
        <v>732</v>
      </c>
      <c r="E31" s="5" t="s">
        <v>737</v>
      </c>
      <c r="F31" s="5" t="s">
        <v>734</v>
      </c>
      <c r="G31" s="5">
        <f>COUNT(BASE_ARTICLE!E31:BB31)</f>
        <v>2</v>
      </c>
      <c r="H31" s="5">
        <f>COUNT(BASE_ARTICLE!BC31:BV31)</f>
        <v>2</v>
      </c>
      <c r="I31" s="12">
        <f>SUM(BASE_ARTICLE!BC31:BV31)</f>
        <v>1.19</v>
      </c>
      <c r="J31" s="12">
        <f t="shared" si="0"/>
        <v>1.9833333333333331E-2</v>
      </c>
    </row>
    <row r="32" spans="1:10" x14ac:dyDescent="0.25">
      <c r="A32" s="5" t="str">
        <f>BASE_ARTICLE!A32</f>
        <v>ART-0031</v>
      </c>
      <c r="B32" s="5" t="str">
        <f>BASE_ARTICLE!B32</f>
        <v>Flyer</v>
      </c>
      <c r="C32" s="5" t="s">
        <v>731</v>
      </c>
      <c r="D32" s="5" t="s">
        <v>732</v>
      </c>
      <c r="E32" s="5" t="s">
        <v>737</v>
      </c>
      <c r="F32" s="5" t="s">
        <v>734</v>
      </c>
      <c r="G32" s="5">
        <f>COUNT(BASE_ARTICLE!E32:BB32)</f>
        <v>2</v>
      </c>
      <c r="H32" s="5">
        <f>COUNT(BASE_ARTICLE!BC32:BV32)</f>
        <v>2</v>
      </c>
      <c r="I32" s="12">
        <f>SUM(BASE_ARTICLE!BC32:BV32)</f>
        <v>0.67</v>
      </c>
      <c r="J32" s="12">
        <f t="shared" si="0"/>
        <v>1.1166666666666667E-2</v>
      </c>
    </row>
    <row r="33" spans="1:10" x14ac:dyDescent="0.25">
      <c r="A33" s="5" t="str">
        <f>BASE_ARTICLE!A33</f>
        <v>ART-0032</v>
      </c>
      <c r="B33" s="5" t="str">
        <f>BASE_ARTICLE!B33</f>
        <v>Flyer</v>
      </c>
      <c r="C33" s="5" t="s">
        <v>731</v>
      </c>
      <c r="D33" s="5" t="s">
        <v>732</v>
      </c>
      <c r="E33" s="5" t="s">
        <v>737</v>
      </c>
      <c r="F33" s="5" t="s">
        <v>734</v>
      </c>
      <c r="G33" s="5">
        <f>COUNT(BASE_ARTICLE!E33:BB33)</f>
        <v>2</v>
      </c>
      <c r="H33" s="5">
        <f>COUNT(BASE_ARTICLE!BC33:BV33)</f>
        <v>2</v>
      </c>
      <c r="I33" s="12">
        <f>SUM(BASE_ARTICLE!BC33:BV33)</f>
        <v>1.19</v>
      </c>
      <c r="J33" s="12">
        <f t="shared" si="0"/>
        <v>1.9833333333333331E-2</v>
      </c>
    </row>
    <row r="34" spans="1:10" x14ac:dyDescent="0.25">
      <c r="A34" s="5" t="str">
        <f>BASE_ARTICLE!A34</f>
        <v>ART-0033</v>
      </c>
      <c r="B34" s="5" t="str">
        <f>BASE_ARTICLE!B34</f>
        <v>Flyer</v>
      </c>
      <c r="C34" s="5" t="s">
        <v>731</v>
      </c>
      <c r="D34" s="5" t="s">
        <v>732</v>
      </c>
      <c r="E34" s="5" t="s">
        <v>737</v>
      </c>
      <c r="F34" s="5" t="s">
        <v>734</v>
      </c>
      <c r="G34" s="5">
        <f>COUNT(BASE_ARTICLE!E34:BB34)</f>
        <v>2</v>
      </c>
      <c r="H34" s="5">
        <f>COUNT(BASE_ARTICLE!BC34:BV34)</f>
        <v>2</v>
      </c>
      <c r="I34" s="12">
        <f>SUM(BASE_ARTICLE!BC34:BV34)</f>
        <v>0.67</v>
      </c>
      <c r="J34" s="12">
        <f t="shared" si="0"/>
        <v>1.1166666666666667E-2</v>
      </c>
    </row>
    <row r="35" spans="1:10" x14ac:dyDescent="0.25">
      <c r="A35" s="5" t="str">
        <f>BASE_ARTICLE!A35</f>
        <v>ART-0034</v>
      </c>
      <c r="B35" s="5" t="str">
        <f>BASE_ARTICLE!B35</f>
        <v>Flyer</v>
      </c>
      <c r="C35" s="5" t="s">
        <v>731</v>
      </c>
      <c r="D35" s="5" t="s">
        <v>732</v>
      </c>
      <c r="E35" s="5" t="s">
        <v>737</v>
      </c>
      <c r="F35" s="5" t="s">
        <v>734</v>
      </c>
      <c r="G35" s="5">
        <f>COUNT(BASE_ARTICLE!E35:BB35)</f>
        <v>2</v>
      </c>
      <c r="H35" s="5">
        <f>COUNT(BASE_ARTICLE!BC35:BV35)</f>
        <v>2</v>
      </c>
      <c r="I35" s="12">
        <f>SUM(BASE_ARTICLE!BC35:BV35)</f>
        <v>1.19</v>
      </c>
      <c r="J35" s="12">
        <f t="shared" si="0"/>
        <v>1.9833333333333331E-2</v>
      </c>
    </row>
    <row r="36" spans="1:10" x14ac:dyDescent="0.25">
      <c r="A36" s="5" t="str">
        <f>BASE_ARTICLE!A36</f>
        <v>ART-0035</v>
      </c>
      <c r="B36" s="5" t="str">
        <f>BASE_ARTICLE!B36</f>
        <v>Flyer</v>
      </c>
      <c r="C36" s="5" t="s">
        <v>731</v>
      </c>
      <c r="D36" s="5" t="s">
        <v>732</v>
      </c>
      <c r="E36" s="5" t="s">
        <v>738</v>
      </c>
      <c r="F36" s="5" t="s">
        <v>734</v>
      </c>
      <c r="G36" s="5">
        <f>COUNT(BASE_ARTICLE!E36:BB36)</f>
        <v>2</v>
      </c>
      <c r="H36" s="5">
        <f>COUNT(BASE_ARTICLE!BC36:BV36)</f>
        <v>2</v>
      </c>
      <c r="I36" s="12">
        <f>SUM(BASE_ARTICLE!BC36:BV36)</f>
        <v>0.25</v>
      </c>
      <c r="J36" s="12">
        <f t="shared" si="0"/>
        <v>4.1666666666666666E-3</v>
      </c>
    </row>
    <row r="37" spans="1:10" x14ac:dyDescent="0.25">
      <c r="A37" s="5" t="str">
        <f>BASE_ARTICLE!A37</f>
        <v>ART-0036</v>
      </c>
      <c r="B37" s="5" t="str">
        <f>BASE_ARTICLE!B37</f>
        <v>Flyer</v>
      </c>
      <c r="C37" s="5" t="s">
        <v>731</v>
      </c>
      <c r="D37" s="5" t="s">
        <v>732</v>
      </c>
      <c r="E37" s="5" t="s">
        <v>738</v>
      </c>
      <c r="F37" s="5" t="s">
        <v>734</v>
      </c>
      <c r="G37" s="5">
        <f>COUNT(BASE_ARTICLE!E37:BB37)</f>
        <v>2</v>
      </c>
      <c r="H37" s="5">
        <f>COUNT(BASE_ARTICLE!BC37:BV37)</f>
        <v>2</v>
      </c>
      <c r="I37" s="12">
        <f>SUM(BASE_ARTICLE!BC37:BV37)</f>
        <v>0.42</v>
      </c>
      <c r="J37" s="12">
        <f t="shared" si="0"/>
        <v>7.0000000000000001E-3</v>
      </c>
    </row>
    <row r="38" spans="1:10" x14ac:dyDescent="0.25">
      <c r="A38" s="5" t="str">
        <f>BASE_ARTICLE!A38</f>
        <v>ART-0037</v>
      </c>
      <c r="B38" s="5" t="str">
        <f>BASE_ARTICLE!B38</f>
        <v>Flyer</v>
      </c>
      <c r="C38" s="5" t="s">
        <v>731</v>
      </c>
      <c r="D38" s="5" t="s">
        <v>732</v>
      </c>
      <c r="E38" s="5" t="s">
        <v>738</v>
      </c>
      <c r="F38" s="5" t="s">
        <v>734</v>
      </c>
      <c r="G38" s="5">
        <f>COUNT(BASE_ARTICLE!E38:BB38)</f>
        <v>2</v>
      </c>
      <c r="H38" s="5">
        <f>COUNT(BASE_ARTICLE!BC38:BV38)</f>
        <v>2</v>
      </c>
      <c r="I38" s="12">
        <f>SUM(BASE_ARTICLE!BC38:BV38)</f>
        <v>0.25</v>
      </c>
      <c r="J38" s="12">
        <f t="shared" si="0"/>
        <v>4.1666666666666666E-3</v>
      </c>
    </row>
    <row r="39" spans="1:10" x14ac:dyDescent="0.25">
      <c r="A39" s="5" t="str">
        <f>BASE_ARTICLE!A39</f>
        <v>ART-0038</v>
      </c>
      <c r="B39" s="5" t="str">
        <f>BASE_ARTICLE!B39</f>
        <v>Flyer</v>
      </c>
      <c r="C39" s="5" t="s">
        <v>731</v>
      </c>
      <c r="D39" s="5" t="s">
        <v>732</v>
      </c>
      <c r="E39" s="5" t="s">
        <v>738</v>
      </c>
      <c r="F39" s="5" t="s">
        <v>734</v>
      </c>
      <c r="G39" s="5">
        <f>COUNT(BASE_ARTICLE!E39:BB39)</f>
        <v>2</v>
      </c>
      <c r="H39" s="5">
        <f>COUNT(BASE_ARTICLE!BC39:BV39)</f>
        <v>2</v>
      </c>
      <c r="I39" s="12">
        <f>SUM(BASE_ARTICLE!BC39:BV39)</f>
        <v>0.42</v>
      </c>
      <c r="J39" s="12">
        <f t="shared" si="0"/>
        <v>7.0000000000000001E-3</v>
      </c>
    </row>
    <row r="40" spans="1:10" x14ac:dyDescent="0.25">
      <c r="A40" s="5" t="str">
        <f>BASE_ARTICLE!A40</f>
        <v>ART-0039</v>
      </c>
      <c r="B40" s="5" t="str">
        <f>BASE_ARTICLE!B40</f>
        <v>Flyer</v>
      </c>
      <c r="C40" s="5" t="s">
        <v>731</v>
      </c>
      <c r="D40" s="5" t="s">
        <v>732</v>
      </c>
      <c r="E40" s="5" t="s">
        <v>738</v>
      </c>
      <c r="F40" s="5" t="s">
        <v>734</v>
      </c>
      <c r="G40" s="5">
        <f>COUNT(BASE_ARTICLE!E40:BB40)</f>
        <v>2</v>
      </c>
      <c r="H40" s="5">
        <f>COUNT(BASE_ARTICLE!BC40:BV40)</f>
        <v>2</v>
      </c>
      <c r="I40" s="12">
        <f>SUM(BASE_ARTICLE!BC40:BV40)</f>
        <v>0.25</v>
      </c>
      <c r="J40" s="12">
        <f t="shared" si="0"/>
        <v>4.1666666666666666E-3</v>
      </c>
    </row>
    <row r="41" spans="1:10" x14ac:dyDescent="0.25">
      <c r="A41" s="5" t="str">
        <f>BASE_ARTICLE!A41</f>
        <v>ART-0040</v>
      </c>
      <c r="B41" s="5" t="str">
        <f>BASE_ARTICLE!B41</f>
        <v>Flyer</v>
      </c>
      <c r="C41" s="5" t="s">
        <v>731</v>
      </c>
      <c r="D41" s="5" t="s">
        <v>732</v>
      </c>
      <c r="E41" s="5" t="s">
        <v>738</v>
      </c>
      <c r="F41" s="5" t="s">
        <v>734</v>
      </c>
      <c r="G41" s="5">
        <f>COUNT(BASE_ARTICLE!E41:BB41)</f>
        <v>2</v>
      </c>
      <c r="H41" s="5">
        <f>COUNT(BASE_ARTICLE!BC41:BV41)</f>
        <v>2</v>
      </c>
      <c r="I41" s="12">
        <f>SUM(BASE_ARTICLE!BC41:BV41)</f>
        <v>0.42</v>
      </c>
      <c r="J41" s="12">
        <f t="shared" si="0"/>
        <v>7.0000000000000001E-3</v>
      </c>
    </row>
    <row r="42" spans="1:10" x14ac:dyDescent="0.25">
      <c r="A42" s="5" t="str">
        <f>BASE_ARTICLE!A42</f>
        <v>ART-0041</v>
      </c>
      <c r="B42" s="5" t="str">
        <f>BASE_ARTICLE!B42</f>
        <v>Dépliant</v>
      </c>
      <c r="C42" s="5" t="s">
        <v>731</v>
      </c>
      <c r="D42" s="5" t="s">
        <v>732</v>
      </c>
      <c r="E42" s="5" t="s">
        <v>739</v>
      </c>
      <c r="F42" s="5" t="s">
        <v>734</v>
      </c>
      <c r="G42" s="5">
        <f>COUNT(BASE_ARTICLE!E42:BB42)</f>
        <v>2</v>
      </c>
      <c r="H42" s="5">
        <f>COUNT(BASE_ARTICLE!BC42:BV42)</f>
        <v>3</v>
      </c>
      <c r="I42" s="12">
        <f>SUM(BASE_ARTICLE!BC42:BV42)</f>
        <v>1.49</v>
      </c>
      <c r="J42" s="12">
        <f t="shared" si="0"/>
        <v>2.4833333333333332E-2</v>
      </c>
    </row>
    <row r="43" spans="1:10" x14ac:dyDescent="0.25">
      <c r="A43" s="5" t="str">
        <f>BASE_ARTICLE!A43</f>
        <v>ART-0042</v>
      </c>
      <c r="B43" s="5" t="str">
        <f>BASE_ARTICLE!B43</f>
        <v>Dépliant</v>
      </c>
      <c r="C43" s="5" t="s">
        <v>731</v>
      </c>
      <c r="D43" s="5" t="s">
        <v>732</v>
      </c>
      <c r="E43" s="5" t="s">
        <v>739</v>
      </c>
      <c r="F43" s="5" t="s">
        <v>734</v>
      </c>
      <c r="G43" s="5">
        <f>COUNT(BASE_ARTICLE!E43:BB43)</f>
        <v>2</v>
      </c>
      <c r="H43" s="5">
        <f>COUNT(BASE_ARTICLE!BC43:BV43)</f>
        <v>3</v>
      </c>
      <c r="I43" s="12">
        <f>SUM(BASE_ARTICLE!BC43:BV43)</f>
        <v>1.49</v>
      </c>
      <c r="J43" s="12">
        <f t="shared" si="0"/>
        <v>2.4833333333333332E-2</v>
      </c>
    </row>
    <row r="44" spans="1:10" x14ac:dyDescent="0.25">
      <c r="A44" s="5" t="str">
        <f>BASE_ARTICLE!A44</f>
        <v>ART-0043</v>
      </c>
      <c r="B44" s="5" t="str">
        <f>BASE_ARTICLE!B44</f>
        <v>Dépliant</v>
      </c>
      <c r="C44" s="5" t="s">
        <v>731</v>
      </c>
      <c r="D44" s="5" t="s">
        <v>732</v>
      </c>
      <c r="E44" s="5" t="s">
        <v>739</v>
      </c>
      <c r="F44" s="5" t="s">
        <v>734</v>
      </c>
      <c r="G44" s="5">
        <f>COUNT(BASE_ARTICLE!E44:BB44)</f>
        <v>2</v>
      </c>
      <c r="H44" s="5">
        <f>COUNT(BASE_ARTICLE!BC44:BV44)</f>
        <v>3</v>
      </c>
      <c r="I44" s="12">
        <f>SUM(BASE_ARTICLE!BC44:BV44)</f>
        <v>1.49</v>
      </c>
      <c r="J44" s="12">
        <f t="shared" si="0"/>
        <v>2.4833333333333332E-2</v>
      </c>
    </row>
    <row r="45" spans="1:10" x14ac:dyDescent="0.25">
      <c r="A45" s="5" t="str">
        <f>BASE_ARTICLE!A45</f>
        <v>ART-0044</v>
      </c>
      <c r="B45" s="5" t="str">
        <f>BASE_ARTICLE!B45</f>
        <v>Dépliant</v>
      </c>
      <c r="C45" s="5" t="s">
        <v>731</v>
      </c>
      <c r="D45" s="5" t="s">
        <v>732</v>
      </c>
      <c r="E45" s="5" t="s">
        <v>739</v>
      </c>
      <c r="F45" s="5" t="s">
        <v>734</v>
      </c>
      <c r="G45" s="5">
        <f>COUNT(BASE_ARTICLE!E45:BB45)</f>
        <v>2</v>
      </c>
      <c r="H45" s="5">
        <f>COUNT(BASE_ARTICLE!BC45:BV45)</f>
        <v>3</v>
      </c>
      <c r="I45" s="12">
        <f>SUM(BASE_ARTICLE!BC45:BV45)</f>
        <v>1.49</v>
      </c>
      <c r="J45" s="12">
        <f t="shared" si="0"/>
        <v>2.4833333333333332E-2</v>
      </c>
    </row>
    <row r="46" spans="1:10" x14ac:dyDescent="0.25">
      <c r="A46" s="5" t="str">
        <f>BASE_ARTICLE!A46</f>
        <v>ART-0045</v>
      </c>
      <c r="B46" s="5" t="str">
        <f>BASE_ARTICLE!B46</f>
        <v>Dépliant</v>
      </c>
      <c r="C46" s="5" t="s">
        <v>731</v>
      </c>
      <c r="D46" s="5" t="s">
        <v>732</v>
      </c>
      <c r="E46" s="5" t="s">
        <v>740</v>
      </c>
      <c r="F46" s="5" t="s">
        <v>734</v>
      </c>
      <c r="G46" s="5">
        <f>COUNT(BASE_ARTICLE!E46:BB46)</f>
        <v>2</v>
      </c>
      <c r="H46" s="5">
        <f>COUNT(BASE_ARTICLE!BC46:BV46)</f>
        <v>3</v>
      </c>
      <c r="I46" s="12">
        <f>SUM(BASE_ARTICLE!BC46:BV46)</f>
        <v>2.6399999999999997</v>
      </c>
      <c r="J46" s="12">
        <f t="shared" si="0"/>
        <v>4.3999999999999997E-2</v>
      </c>
    </row>
    <row r="47" spans="1:10" x14ac:dyDescent="0.25">
      <c r="A47" s="5" t="str">
        <f>BASE_ARTICLE!A47</f>
        <v>ART-0046</v>
      </c>
      <c r="B47" s="5" t="str">
        <f>BASE_ARTICLE!B47</f>
        <v>Dépliant</v>
      </c>
      <c r="C47" s="5" t="s">
        <v>731</v>
      </c>
      <c r="D47" s="5" t="s">
        <v>732</v>
      </c>
      <c r="E47" s="5" t="s">
        <v>740</v>
      </c>
      <c r="F47" s="5" t="s">
        <v>734</v>
      </c>
      <c r="G47" s="5">
        <f>COUNT(BASE_ARTICLE!E47:BB47)</f>
        <v>2</v>
      </c>
      <c r="H47" s="5">
        <f>COUNT(BASE_ARTICLE!BC47:BV47)</f>
        <v>3</v>
      </c>
      <c r="I47" s="12">
        <f>SUM(BASE_ARTICLE!BC47:BV47)</f>
        <v>2.6399999999999997</v>
      </c>
      <c r="J47" s="12">
        <f t="shared" si="0"/>
        <v>4.3999999999999997E-2</v>
      </c>
    </row>
    <row r="48" spans="1:10" x14ac:dyDescent="0.25">
      <c r="A48" s="5" t="str">
        <f>BASE_ARTICLE!A48</f>
        <v>ART-0047</v>
      </c>
      <c r="B48" s="5" t="str">
        <f>BASE_ARTICLE!B48</f>
        <v>Dépliant</v>
      </c>
      <c r="C48" s="5" t="s">
        <v>731</v>
      </c>
      <c r="D48" s="5" t="s">
        <v>732</v>
      </c>
      <c r="E48" s="5" t="s">
        <v>740</v>
      </c>
      <c r="F48" s="5" t="s">
        <v>734</v>
      </c>
      <c r="G48" s="5">
        <f>COUNT(BASE_ARTICLE!E48:BB48)</f>
        <v>2</v>
      </c>
      <c r="H48" s="5">
        <f>COUNT(BASE_ARTICLE!BC48:BV48)</f>
        <v>3</v>
      </c>
      <c r="I48" s="12">
        <f>SUM(BASE_ARTICLE!BC48:BV48)</f>
        <v>2.6399999999999997</v>
      </c>
      <c r="J48" s="12">
        <f t="shared" si="0"/>
        <v>4.3999999999999997E-2</v>
      </c>
    </row>
    <row r="49" spans="1:10" x14ac:dyDescent="0.25">
      <c r="A49" s="5" t="str">
        <f>BASE_ARTICLE!A49</f>
        <v>ART-0048</v>
      </c>
      <c r="B49" s="5" t="str">
        <f>BASE_ARTICLE!B49</f>
        <v>Dépliant</v>
      </c>
      <c r="C49" s="5" t="s">
        <v>731</v>
      </c>
      <c r="D49" s="5" t="s">
        <v>732</v>
      </c>
      <c r="E49" s="5" t="s">
        <v>740</v>
      </c>
      <c r="F49" s="5" t="s">
        <v>734</v>
      </c>
      <c r="G49" s="5">
        <f>COUNT(BASE_ARTICLE!E49:BB49)</f>
        <v>2</v>
      </c>
      <c r="H49" s="5">
        <f>COUNT(BASE_ARTICLE!BC49:BV49)</f>
        <v>3</v>
      </c>
      <c r="I49" s="12">
        <f>SUM(BASE_ARTICLE!BC49:BV49)</f>
        <v>2.6399999999999997</v>
      </c>
      <c r="J49" s="12">
        <f t="shared" si="0"/>
        <v>4.3999999999999997E-2</v>
      </c>
    </row>
    <row r="50" spans="1:10" x14ac:dyDescent="0.25">
      <c r="A50" s="5" t="str">
        <f>BASE_ARTICLE!A50</f>
        <v>ART-0049</v>
      </c>
      <c r="B50" s="5" t="str">
        <f>BASE_ARTICLE!B50</f>
        <v>Affiche</v>
      </c>
      <c r="C50" s="5" t="s">
        <v>731</v>
      </c>
      <c r="D50" s="5" t="s">
        <v>732</v>
      </c>
      <c r="E50" s="5" t="s">
        <v>741</v>
      </c>
      <c r="F50" s="5" t="s">
        <v>734</v>
      </c>
      <c r="G50" s="5">
        <f>COUNT(BASE_ARTICLE!E50:BB50)</f>
        <v>2</v>
      </c>
      <c r="H50" s="5">
        <f>COUNT(BASE_ARTICLE!BC50:BV50)</f>
        <v>2</v>
      </c>
      <c r="I50" s="12">
        <f>SUM(BASE_ARTICLE!BC50:BV50)</f>
        <v>1.29</v>
      </c>
      <c r="J50" s="12">
        <f t="shared" si="0"/>
        <v>2.1500000000000002E-2</v>
      </c>
    </row>
    <row r="51" spans="1:10" x14ac:dyDescent="0.25">
      <c r="A51" s="5" t="str">
        <f>BASE_ARTICLE!A51</f>
        <v>ART-0050</v>
      </c>
      <c r="B51" s="5" t="str">
        <f>BASE_ARTICLE!B51</f>
        <v>Affiche</v>
      </c>
      <c r="C51" s="5" t="s">
        <v>731</v>
      </c>
      <c r="D51" s="5" t="s">
        <v>732</v>
      </c>
      <c r="E51" s="5" t="s">
        <v>741</v>
      </c>
      <c r="F51" s="5" t="s">
        <v>734</v>
      </c>
      <c r="G51" s="5">
        <f>COUNT(BASE_ARTICLE!E51:BB51)</f>
        <v>2</v>
      </c>
      <c r="H51" s="5">
        <f>COUNT(BASE_ARTICLE!BC51:BV51)</f>
        <v>2</v>
      </c>
      <c r="I51" s="12">
        <f>SUM(BASE_ARTICLE!BC51:BV51)</f>
        <v>1.29</v>
      </c>
      <c r="J51" s="12">
        <f t="shared" si="0"/>
        <v>2.1500000000000002E-2</v>
      </c>
    </row>
    <row r="52" spans="1:10" x14ac:dyDescent="0.25">
      <c r="A52" s="5" t="str">
        <f>BASE_ARTICLE!A52</f>
        <v>ART-0051</v>
      </c>
      <c r="B52" s="5" t="str">
        <f>BASE_ARTICLE!B52</f>
        <v>Affiche</v>
      </c>
      <c r="C52" s="5" t="s">
        <v>731</v>
      </c>
      <c r="D52" s="5" t="s">
        <v>732</v>
      </c>
      <c r="E52" s="5" t="s">
        <v>741</v>
      </c>
      <c r="F52" s="5" t="s">
        <v>734</v>
      </c>
      <c r="G52" s="5">
        <f>COUNT(BASE_ARTICLE!E52:BB52)</f>
        <v>2</v>
      </c>
      <c r="H52" s="5">
        <f>COUNT(BASE_ARTICLE!BC52:BV52)</f>
        <v>2</v>
      </c>
      <c r="I52" s="12">
        <f>SUM(BASE_ARTICLE!BC52:BV52)</f>
        <v>1.29</v>
      </c>
      <c r="J52" s="12">
        <f t="shared" si="0"/>
        <v>2.1500000000000002E-2</v>
      </c>
    </row>
    <row r="53" spans="1:10" x14ac:dyDescent="0.25">
      <c r="A53" s="5" t="str">
        <f>BASE_ARTICLE!A53</f>
        <v>ART-0052</v>
      </c>
      <c r="B53" s="5" t="str">
        <f>BASE_ARTICLE!B53</f>
        <v>Affiche</v>
      </c>
      <c r="C53" s="5" t="s">
        <v>731</v>
      </c>
      <c r="D53" s="5" t="s">
        <v>732</v>
      </c>
      <c r="E53" s="5" t="s">
        <v>742</v>
      </c>
      <c r="F53" s="5" t="s">
        <v>734</v>
      </c>
      <c r="G53" s="5">
        <f>COUNT(BASE_ARTICLE!E53:BB53)</f>
        <v>2</v>
      </c>
      <c r="H53" s="5">
        <f>COUNT(BASE_ARTICLE!BC53:BV53)</f>
        <v>2</v>
      </c>
      <c r="I53" s="12">
        <f>SUM(BASE_ARTICLE!BC53:BV53)</f>
        <v>1.29</v>
      </c>
      <c r="J53" s="12">
        <f t="shared" si="0"/>
        <v>2.1500000000000002E-2</v>
      </c>
    </row>
    <row r="54" spans="1:10" x14ac:dyDescent="0.25">
      <c r="A54" s="5" t="str">
        <f>BASE_ARTICLE!A54</f>
        <v>ART-0053</v>
      </c>
      <c r="B54" s="5" t="str">
        <f>BASE_ARTICLE!B54</f>
        <v>Affiche</v>
      </c>
      <c r="C54" s="5" t="s">
        <v>731</v>
      </c>
      <c r="D54" s="5" t="s">
        <v>732</v>
      </c>
      <c r="E54" s="5" t="s">
        <v>742</v>
      </c>
      <c r="F54" s="5" t="s">
        <v>734</v>
      </c>
      <c r="G54" s="5">
        <f>COUNT(BASE_ARTICLE!E54:BB54)</f>
        <v>2</v>
      </c>
      <c r="H54" s="5">
        <f>COUNT(BASE_ARTICLE!BC54:BV54)</f>
        <v>2</v>
      </c>
      <c r="I54" s="12">
        <f>SUM(BASE_ARTICLE!BC54:BV54)</f>
        <v>1.29</v>
      </c>
      <c r="J54" s="12">
        <f t="shared" si="0"/>
        <v>2.1500000000000002E-2</v>
      </c>
    </row>
    <row r="55" spans="1:10" x14ac:dyDescent="0.25">
      <c r="A55" s="5" t="str">
        <f>BASE_ARTICLE!A55</f>
        <v>ART-0054</v>
      </c>
      <c r="B55" s="5" t="str">
        <f>BASE_ARTICLE!B55</f>
        <v>Affiche</v>
      </c>
      <c r="C55" s="5" t="s">
        <v>731</v>
      </c>
      <c r="D55" s="5" t="s">
        <v>732</v>
      </c>
      <c r="E55" s="5" t="s">
        <v>742</v>
      </c>
      <c r="F55" s="5" t="s">
        <v>734</v>
      </c>
      <c r="G55" s="5">
        <f>COUNT(BASE_ARTICLE!E55:BB55)</f>
        <v>2</v>
      </c>
      <c r="H55" s="5">
        <f>COUNT(BASE_ARTICLE!BC55:BV55)</f>
        <v>2</v>
      </c>
      <c r="I55" s="12">
        <f>SUM(BASE_ARTICLE!BC55:BV55)</f>
        <v>1.29</v>
      </c>
      <c r="J55" s="12">
        <f t="shared" si="0"/>
        <v>2.1500000000000002E-2</v>
      </c>
    </row>
    <row r="56" spans="1:10" x14ac:dyDescent="0.25">
      <c r="A56" s="5" t="str">
        <f>BASE_ARTICLE!A56</f>
        <v>ART-0055</v>
      </c>
      <c r="B56" s="5" t="str">
        <f>BASE_ARTICLE!B56</f>
        <v>Papier en-tête</v>
      </c>
      <c r="C56" s="5" t="s">
        <v>731</v>
      </c>
      <c r="D56" s="5" t="s">
        <v>732</v>
      </c>
      <c r="E56" s="5" t="s">
        <v>737</v>
      </c>
      <c r="F56" s="5" t="s">
        <v>734</v>
      </c>
      <c r="G56" s="5">
        <f>COUNT(BASE_ARTICLE!E56:BB56)</f>
        <v>2</v>
      </c>
      <c r="H56" s="5">
        <f>COUNT(BASE_ARTICLE!BC56:BV56)</f>
        <v>2</v>
      </c>
      <c r="I56" s="12">
        <f>SUM(BASE_ARTICLE!BC56:BV56)</f>
        <v>0.67</v>
      </c>
      <c r="J56" s="12">
        <f t="shared" si="0"/>
        <v>1.1166666666666667E-2</v>
      </c>
    </row>
    <row r="57" spans="1:10" x14ac:dyDescent="0.25">
      <c r="A57" s="5" t="str">
        <f>BASE_ARTICLE!A57</f>
        <v>ART-0056</v>
      </c>
      <c r="B57" s="5" t="str">
        <f>BASE_ARTICLE!B57</f>
        <v>Papier en-tête</v>
      </c>
      <c r="C57" s="5" t="s">
        <v>731</v>
      </c>
      <c r="D57" s="5" t="s">
        <v>732</v>
      </c>
      <c r="E57" s="5" t="s">
        <v>737</v>
      </c>
      <c r="F57" s="5" t="s">
        <v>734</v>
      </c>
      <c r="G57" s="5">
        <f>COUNT(BASE_ARTICLE!E57:BB57)</f>
        <v>2</v>
      </c>
      <c r="H57" s="5">
        <f>COUNT(BASE_ARTICLE!BC57:BV57)</f>
        <v>2</v>
      </c>
      <c r="I57" s="12">
        <f>SUM(BASE_ARTICLE!BC57:BV57)</f>
        <v>0.67</v>
      </c>
      <c r="J57" s="12">
        <f t="shared" si="0"/>
        <v>1.1166666666666667E-2</v>
      </c>
    </row>
    <row r="58" spans="1:10" x14ac:dyDescent="0.25">
      <c r="A58" s="5" t="str">
        <f>BASE_ARTICLE!A58</f>
        <v>ART-0057</v>
      </c>
      <c r="B58" s="5" t="str">
        <f>BASE_ARTICLE!B58</f>
        <v>Carte d'invitation</v>
      </c>
      <c r="C58" s="5" t="s">
        <v>731</v>
      </c>
      <c r="D58" s="5" t="s">
        <v>732</v>
      </c>
      <c r="E58" s="5" t="s">
        <v>735</v>
      </c>
      <c r="F58" s="5" t="s">
        <v>734</v>
      </c>
      <c r="G58" s="5">
        <f>COUNT(BASE_ARTICLE!E58:BB58)</f>
        <v>3</v>
      </c>
      <c r="H58" s="5">
        <f>COUNT(BASE_ARTICLE!BC58:BV58)</f>
        <v>3</v>
      </c>
      <c r="I58" s="12">
        <f>SUM(BASE_ARTICLE!BC58:BV58)</f>
        <v>1.03</v>
      </c>
      <c r="J58" s="12">
        <f t="shared" si="0"/>
        <v>1.7166666666666667E-2</v>
      </c>
    </row>
    <row r="59" spans="1:10" x14ac:dyDescent="0.25">
      <c r="A59" s="5" t="str">
        <f>BASE_ARTICLE!A59</f>
        <v>ART-0058</v>
      </c>
      <c r="B59" s="5" t="str">
        <f>BASE_ARTICLE!B59</f>
        <v>Carte d'invitation</v>
      </c>
      <c r="C59" s="5" t="s">
        <v>731</v>
      </c>
      <c r="D59" s="5" t="s">
        <v>732</v>
      </c>
      <c r="E59" s="5" t="s">
        <v>735</v>
      </c>
      <c r="F59" s="5" t="s">
        <v>734</v>
      </c>
      <c r="G59" s="5">
        <f>COUNT(BASE_ARTICLE!E59:BB59)</f>
        <v>3</v>
      </c>
      <c r="H59" s="5">
        <f>COUNT(BASE_ARTICLE!BC59:BV59)</f>
        <v>3</v>
      </c>
      <c r="I59" s="12">
        <f>SUM(BASE_ARTICLE!BC59:BV59)</f>
        <v>0.71</v>
      </c>
      <c r="J59" s="12">
        <f t="shared" si="0"/>
        <v>1.1833333333333333E-2</v>
      </c>
    </row>
    <row r="60" spans="1:10" x14ac:dyDescent="0.25">
      <c r="A60" s="5" t="str">
        <f>BASE_ARTICLE!A60</f>
        <v>ART-0059</v>
      </c>
      <c r="B60" s="5" t="str">
        <f>BASE_ARTICLE!B60</f>
        <v>Carte d'invitation</v>
      </c>
      <c r="C60" s="5" t="s">
        <v>731</v>
      </c>
      <c r="D60" s="5" t="s">
        <v>732</v>
      </c>
      <c r="E60" s="5" t="s">
        <v>743</v>
      </c>
      <c r="F60" s="5" t="s">
        <v>734</v>
      </c>
      <c r="G60" s="5">
        <f>COUNT(BASE_ARTICLE!E60:BB60)</f>
        <v>3</v>
      </c>
      <c r="H60" s="5">
        <f>COUNT(BASE_ARTICLE!BC60:BV60)</f>
        <v>3</v>
      </c>
      <c r="I60" s="12">
        <f>SUM(BASE_ARTICLE!BC60:BV60)</f>
        <v>2.0299999999999998</v>
      </c>
      <c r="J60" s="12">
        <f t="shared" si="0"/>
        <v>3.3833333333333333E-2</v>
      </c>
    </row>
    <row r="61" spans="1:10" x14ac:dyDescent="0.25">
      <c r="A61" s="5" t="str">
        <f>BASE_ARTICLE!A61</f>
        <v>ART-0060</v>
      </c>
      <c r="B61" s="5" t="str">
        <f>BASE_ARTICLE!B61</f>
        <v>Carte d'invitation</v>
      </c>
      <c r="C61" s="5" t="s">
        <v>731</v>
      </c>
      <c r="D61" s="5" t="s">
        <v>732</v>
      </c>
      <c r="E61" s="5" t="s">
        <v>743</v>
      </c>
      <c r="F61" s="5" t="s">
        <v>734</v>
      </c>
      <c r="G61" s="5">
        <f>COUNT(BASE_ARTICLE!E61:BB61)</f>
        <v>3</v>
      </c>
      <c r="H61" s="5">
        <f>COUNT(BASE_ARTICLE!BC61:BV61)</f>
        <v>3</v>
      </c>
      <c r="I61" s="12">
        <f>SUM(BASE_ARTICLE!BC61:BV61)</f>
        <v>1.4</v>
      </c>
      <c r="J61" s="12">
        <f t="shared" si="0"/>
        <v>2.3333333333333331E-2</v>
      </c>
    </row>
    <row r="62" spans="1:10" x14ac:dyDescent="0.25">
      <c r="A62" s="5" t="str">
        <f>BASE_ARTICLE!A62</f>
        <v>ART-0061</v>
      </c>
      <c r="B62" s="5" t="str">
        <f>BASE_ARTICLE!B62</f>
        <v>Carte d'invitation</v>
      </c>
      <c r="C62" s="5" t="s">
        <v>731</v>
      </c>
      <c r="D62" s="5" t="s">
        <v>732</v>
      </c>
      <c r="E62" s="5" t="s">
        <v>744</v>
      </c>
      <c r="F62" s="5" t="s">
        <v>734</v>
      </c>
      <c r="G62" s="5">
        <f>COUNT(BASE_ARTICLE!E62:BB62)</f>
        <v>3</v>
      </c>
      <c r="H62" s="5">
        <f>COUNT(BASE_ARTICLE!BC62:BV62)</f>
        <v>4</v>
      </c>
      <c r="I62" s="12">
        <f>SUM(BASE_ARTICLE!BC62:BV62)</f>
        <v>4.32</v>
      </c>
      <c r="J62" s="12">
        <f t="shared" si="0"/>
        <v>7.2000000000000008E-2</v>
      </c>
    </row>
    <row r="63" spans="1:10" x14ac:dyDescent="0.25">
      <c r="A63" s="5" t="str">
        <f>BASE_ARTICLE!A63</f>
        <v>ART-0062</v>
      </c>
      <c r="B63" s="5" t="str">
        <f>BASE_ARTICLE!B63</f>
        <v>Carte d'invitation</v>
      </c>
      <c r="C63" s="5" t="s">
        <v>731</v>
      </c>
      <c r="D63" s="5" t="s">
        <v>732</v>
      </c>
      <c r="E63" s="5" t="s">
        <v>744</v>
      </c>
      <c r="F63" s="5" t="s">
        <v>734</v>
      </c>
      <c r="G63" s="5">
        <f>COUNT(BASE_ARTICLE!E63:BB63)</f>
        <v>3</v>
      </c>
      <c r="H63" s="5">
        <f>COUNT(BASE_ARTICLE!BC63:BV63)</f>
        <v>4</v>
      </c>
      <c r="I63" s="12">
        <f>SUM(BASE_ARTICLE!BC63:BV63)</f>
        <v>3.0700000000000003</v>
      </c>
      <c r="J63" s="12">
        <f t="shared" si="0"/>
        <v>5.1166666666666673E-2</v>
      </c>
    </row>
    <row r="64" spans="1:10" x14ac:dyDescent="0.25">
      <c r="A64" s="5" t="str">
        <f>BASE_ARTICLE!A64</f>
        <v>ART-0063</v>
      </c>
      <c r="B64" s="5" t="str">
        <f>BASE_ARTICLE!B64</f>
        <v>Menu</v>
      </c>
      <c r="C64" s="5" t="s">
        <v>731</v>
      </c>
      <c r="D64" s="5" t="s">
        <v>732</v>
      </c>
      <c r="E64" s="5" t="s">
        <v>737</v>
      </c>
      <c r="F64" s="5" t="s">
        <v>734</v>
      </c>
      <c r="G64" s="5">
        <f>COUNT(BASE_ARTICLE!E64:BB64)</f>
        <v>3</v>
      </c>
      <c r="H64" s="5">
        <f>COUNT(BASE_ARTICLE!BC64:BV64)</f>
        <v>3</v>
      </c>
      <c r="I64" s="12">
        <f>SUM(BASE_ARTICLE!BC64:BV64)</f>
        <v>4.0199999999999996</v>
      </c>
      <c r="J64" s="12">
        <f t="shared" si="0"/>
        <v>6.699999999999999E-2</v>
      </c>
    </row>
    <row r="65" spans="1:10" x14ac:dyDescent="0.25">
      <c r="A65" s="5" t="str">
        <f>BASE_ARTICLE!A65</f>
        <v>ART-0064</v>
      </c>
      <c r="B65" s="5" t="str">
        <f>BASE_ARTICLE!B65</f>
        <v>Menu</v>
      </c>
      <c r="C65" s="5" t="s">
        <v>731</v>
      </c>
      <c r="D65" s="5" t="s">
        <v>732</v>
      </c>
      <c r="E65" s="5" t="s">
        <v>740</v>
      </c>
      <c r="F65" s="5" t="s">
        <v>734</v>
      </c>
      <c r="G65" s="5">
        <f>COUNT(BASE_ARTICLE!E65:BB65)</f>
        <v>3</v>
      </c>
      <c r="H65" s="5">
        <f>COUNT(BASE_ARTICLE!BC65:BV65)</f>
        <v>4</v>
      </c>
      <c r="I65" s="12">
        <f>SUM(BASE_ARTICLE!BC65:BV65)</f>
        <v>8.3099999999999987</v>
      </c>
      <c r="J65" s="12">
        <f t="shared" si="0"/>
        <v>0.13849999999999998</v>
      </c>
    </row>
    <row r="66" spans="1:10" x14ac:dyDescent="0.25">
      <c r="A66" s="5" t="str">
        <f>BASE_ARTICLE!A66</f>
        <v>ART-0065</v>
      </c>
      <c r="B66" s="5" t="str">
        <f>BASE_ARTICLE!B66</f>
        <v>Certificat</v>
      </c>
      <c r="C66" s="5" t="s">
        <v>731</v>
      </c>
      <c r="D66" s="5" t="s">
        <v>732</v>
      </c>
      <c r="E66" s="5" t="s">
        <v>737</v>
      </c>
      <c r="F66" s="5" t="s">
        <v>734</v>
      </c>
      <c r="G66" s="5">
        <f>COUNT(BASE_ARTICLE!E66:BB66)</f>
        <v>2</v>
      </c>
      <c r="H66" s="5">
        <f>COUNT(BASE_ARTICLE!BC66:BV66)</f>
        <v>2</v>
      </c>
      <c r="I66" s="12">
        <f>SUM(BASE_ARTICLE!BC66:BV66)</f>
        <v>0.67</v>
      </c>
      <c r="J66" s="12">
        <f t="shared" ref="J66:J129" si="1">I66/60</f>
        <v>1.1166666666666667E-2</v>
      </c>
    </row>
    <row r="67" spans="1:10" x14ac:dyDescent="0.25">
      <c r="A67" s="5" t="str">
        <f>BASE_ARTICLE!A67</f>
        <v>ART-0066</v>
      </c>
      <c r="B67" s="5" t="str">
        <f>BASE_ARTICLE!B67</f>
        <v>Certificat</v>
      </c>
      <c r="C67" s="5" t="s">
        <v>731</v>
      </c>
      <c r="D67" s="5" t="s">
        <v>732</v>
      </c>
      <c r="E67" s="5" t="s">
        <v>737</v>
      </c>
      <c r="F67" s="5" t="s">
        <v>734</v>
      </c>
      <c r="G67" s="5">
        <f>COUNT(BASE_ARTICLE!E67:BB67)</f>
        <v>3</v>
      </c>
      <c r="H67" s="5">
        <f>COUNT(BASE_ARTICLE!BC67:BV67)</f>
        <v>3</v>
      </c>
      <c r="I67" s="12">
        <f>SUM(BASE_ARTICLE!BC67:BV67)</f>
        <v>2.25</v>
      </c>
      <c r="J67" s="12">
        <f t="shared" si="1"/>
        <v>3.7499999999999999E-2</v>
      </c>
    </row>
    <row r="68" spans="1:10" x14ac:dyDescent="0.25">
      <c r="A68" s="5" t="str">
        <f>BASE_ARTICLE!A68</f>
        <v>ART-0067</v>
      </c>
      <c r="B68" s="5" t="str">
        <f>BASE_ARTICLE!B68</f>
        <v>Carte de vœux</v>
      </c>
      <c r="C68" s="5" t="s">
        <v>731</v>
      </c>
      <c r="D68" s="5" t="s">
        <v>732</v>
      </c>
      <c r="E68" s="5" t="s">
        <v>735</v>
      </c>
      <c r="F68" s="5" t="s">
        <v>734</v>
      </c>
      <c r="G68" s="5">
        <f>COUNT(BASE_ARTICLE!E68:BB68)</f>
        <v>2</v>
      </c>
      <c r="H68" s="5">
        <f>COUNT(BASE_ARTICLE!BC68:BV68)</f>
        <v>2</v>
      </c>
      <c r="I68" s="12">
        <f>SUM(BASE_ARTICLE!BC68:BV68)</f>
        <v>0.32</v>
      </c>
      <c r="J68" s="12">
        <f t="shared" si="1"/>
        <v>5.3333333333333332E-3</v>
      </c>
    </row>
    <row r="69" spans="1:10" x14ac:dyDescent="0.25">
      <c r="A69" s="5" t="str">
        <f>BASE_ARTICLE!A69</f>
        <v>ART-0068</v>
      </c>
      <c r="B69" s="5" t="str">
        <f>BASE_ARTICLE!B69</f>
        <v>Carte de vœux</v>
      </c>
      <c r="C69" s="5" t="s">
        <v>731</v>
      </c>
      <c r="D69" s="5" t="s">
        <v>732</v>
      </c>
      <c r="E69" s="5" t="s">
        <v>735</v>
      </c>
      <c r="F69" s="5" t="s">
        <v>734</v>
      </c>
      <c r="G69" s="5">
        <f>COUNT(BASE_ARTICLE!E69:BB69)</f>
        <v>2</v>
      </c>
      <c r="H69" s="5">
        <f>COUNT(BASE_ARTICLE!BC69:BV69)</f>
        <v>2</v>
      </c>
      <c r="I69" s="12">
        <f>SUM(BASE_ARTICLE!BC69:BV69)</f>
        <v>0.32</v>
      </c>
      <c r="J69" s="12">
        <f t="shared" si="1"/>
        <v>5.3333333333333332E-3</v>
      </c>
    </row>
    <row r="70" spans="1:10" x14ac:dyDescent="0.25">
      <c r="A70" s="5" t="str">
        <f>BASE_ARTICLE!A70</f>
        <v>ART-0069</v>
      </c>
      <c r="B70" s="5" t="str">
        <f>BASE_ARTICLE!B70</f>
        <v>Carte de vœux</v>
      </c>
      <c r="C70" s="5" t="s">
        <v>731</v>
      </c>
      <c r="D70" s="5" t="s">
        <v>732</v>
      </c>
      <c r="E70" s="5" t="s">
        <v>744</v>
      </c>
      <c r="F70" s="5" t="s">
        <v>734</v>
      </c>
      <c r="G70" s="5">
        <f>COUNT(BASE_ARTICLE!E70:BB70)</f>
        <v>2</v>
      </c>
      <c r="H70" s="5">
        <f>COUNT(BASE_ARTICLE!BC70:BV70)</f>
        <v>3</v>
      </c>
      <c r="I70" s="12">
        <f>SUM(BASE_ARTICLE!BC70:BV70)</f>
        <v>1.49</v>
      </c>
      <c r="J70" s="12">
        <f t="shared" si="1"/>
        <v>2.4833333333333332E-2</v>
      </c>
    </row>
    <row r="71" spans="1:10" x14ac:dyDescent="0.25">
      <c r="A71" s="5" t="str">
        <f>BASE_ARTICLE!A71</f>
        <v>ART-0070</v>
      </c>
      <c r="B71" s="5" t="str">
        <f>BASE_ARTICLE!B71</f>
        <v>Carte de vœux</v>
      </c>
      <c r="C71" s="5" t="s">
        <v>731</v>
      </c>
      <c r="D71" s="5" t="s">
        <v>732</v>
      </c>
      <c r="E71" s="5" t="s">
        <v>744</v>
      </c>
      <c r="F71" s="5" t="s">
        <v>734</v>
      </c>
      <c r="G71" s="5">
        <f>COUNT(BASE_ARTICLE!E71:BB71)</f>
        <v>3</v>
      </c>
      <c r="H71" s="5">
        <f>COUNT(BASE_ARTICLE!BC71:BV71)</f>
        <v>4</v>
      </c>
      <c r="I71" s="12">
        <f>SUM(BASE_ARTICLE!BC71:BV71)</f>
        <v>3.0700000000000003</v>
      </c>
      <c r="J71" s="12">
        <f t="shared" si="1"/>
        <v>5.1166666666666673E-2</v>
      </c>
    </row>
    <row r="72" spans="1:10" x14ac:dyDescent="0.25">
      <c r="A72" s="5" t="str">
        <f>BASE_ARTICLE!A72</f>
        <v>ART-0071</v>
      </c>
      <c r="B72" s="5" t="str">
        <f>BASE_ARTICLE!B72</f>
        <v>Badge</v>
      </c>
      <c r="C72" s="5" t="s">
        <v>731</v>
      </c>
      <c r="D72" s="5" t="s">
        <v>732</v>
      </c>
      <c r="E72" s="5" t="s">
        <v>745</v>
      </c>
      <c r="F72" s="5" t="s">
        <v>734</v>
      </c>
      <c r="G72" s="5">
        <f>COUNT(BASE_ARTICLE!E72:BB72)</f>
        <v>3</v>
      </c>
      <c r="H72" s="5">
        <f>COUNT(BASE_ARTICLE!BC72:BV72)</f>
        <v>3</v>
      </c>
      <c r="I72" s="12">
        <f>SUM(BASE_ARTICLE!BC72:BV72)</f>
        <v>0.41000000000000003</v>
      </c>
      <c r="J72" s="12">
        <f t="shared" si="1"/>
        <v>6.8333333333333336E-3</v>
      </c>
    </row>
    <row r="73" spans="1:10" x14ac:dyDescent="0.25">
      <c r="A73" s="5" t="str">
        <f>BASE_ARTICLE!A73</f>
        <v>ART-0072</v>
      </c>
      <c r="B73" s="5" t="str">
        <f>BASE_ARTICLE!B73</f>
        <v>Badge</v>
      </c>
      <c r="C73" s="5" t="s">
        <v>731</v>
      </c>
      <c r="D73" s="5" t="s">
        <v>732</v>
      </c>
      <c r="E73" s="5" t="s">
        <v>735</v>
      </c>
      <c r="F73" s="5" t="s">
        <v>734</v>
      </c>
      <c r="G73" s="5">
        <f>COUNT(BASE_ARTICLE!E73:BB73)</f>
        <v>2</v>
      </c>
      <c r="H73" s="5">
        <f>COUNT(BASE_ARTICLE!BC73:BV73)</f>
        <v>2</v>
      </c>
      <c r="I73" s="12">
        <f>SUM(BASE_ARTICLE!BC73:BV73)</f>
        <v>0.19</v>
      </c>
      <c r="J73" s="12">
        <f t="shared" si="1"/>
        <v>3.1666666666666666E-3</v>
      </c>
    </row>
    <row r="74" spans="1:10" x14ac:dyDescent="0.25">
      <c r="A74" s="5" t="str">
        <f>BASE_ARTICLE!A74</f>
        <v>ART-0073</v>
      </c>
      <c r="B74" s="5" t="str">
        <f>BASE_ARTICLE!B74</f>
        <v>Marque-page</v>
      </c>
      <c r="C74" s="5" t="s">
        <v>731</v>
      </c>
      <c r="D74" s="5" t="s">
        <v>732</v>
      </c>
      <c r="E74" s="5" t="s">
        <v>746</v>
      </c>
      <c r="F74" s="5" t="s">
        <v>734</v>
      </c>
      <c r="G74" s="5">
        <f>COUNT(BASE_ARTICLE!E74:BB74)</f>
        <v>3</v>
      </c>
      <c r="H74" s="5">
        <f>COUNT(BASE_ARTICLE!BC74:BV74)</f>
        <v>3</v>
      </c>
      <c r="I74" s="12">
        <f>SUM(BASE_ARTICLE!BC74:BV74)</f>
        <v>0.83</v>
      </c>
      <c r="J74" s="12">
        <f t="shared" si="1"/>
        <v>1.3833333333333333E-2</v>
      </c>
    </row>
    <row r="75" spans="1:10" x14ac:dyDescent="0.25">
      <c r="A75" s="5" t="str">
        <f>BASE_ARTICLE!A75</f>
        <v>ART-0074</v>
      </c>
      <c r="B75" s="5" t="str">
        <f>BASE_ARTICLE!B75</f>
        <v>Chevalet de table</v>
      </c>
      <c r="C75" s="5" t="s">
        <v>731</v>
      </c>
      <c r="D75" s="5" t="s">
        <v>732</v>
      </c>
      <c r="E75" s="5" t="s">
        <v>739</v>
      </c>
      <c r="F75" s="5" t="s">
        <v>734</v>
      </c>
      <c r="G75" s="5">
        <f>COUNT(BASE_ARTICLE!E75:BB75)</f>
        <v>3</v>
      </c>
      <c r="H75" s="5">
        <f>COUNT(BASE_ARTICLE!BC75:BV75)</f>
        <v>4</v>
      </c>
      <c r="I75" s="12">
        <f>SUM(BASE_ARTICLE!BC75:BV75)</f>
        <v>2.3899999999999997</v>
      </c>
      <c r="J75" s="12">
        <f t="shared" si="1"/>
        <v>3.9833333333333325E-2</v>
      </c>
    </row>
    <row r="76" spans="1:10" x14ac:dyDescent="0.25">
      <c r="A76" s="5" t="str">
        <f>BASE_ARTICLE!A76</f>
        <v>ART-0075</v>
      </c>
      <c r="B76" s="5" t="str">
        <f>BASE_ARTICLE!B76</f>
        <v>Set de table</v>
      </c>
      <c r="C76" s="5" t="s">
        <v>731</v>
      </c>
      <c r="D76" s="5" t="s">
        <v>732</v>
      </c>
      <c r="E76" s="5" t="s">
        <v>741</v>
      </c>
      <c r="F76" s="5" t="s">
        <v>734</v>
      </c>
      <c r="G76" s="5">
        <f>COUNT(BASE_ARTICLE!E76:BB76)</f>
        <v>3</v>
      </c>
      <c r="H76" s="5">
        <f>COUNT(BASE_ARTICLE!BC76:BV76)</f>
        <v>3</v>
      </c>
      <c r="I76" s="12">
        <f>SUM(BASE_ARTICLE!BC76:BV76)</f>
        <v>4.12</v>
      </c>
      <c r="J76" s="12">
        <f t="shared" si="1"/>
        <v>6.8666666666666668E-2</v>
      </c>
    </row>
    <row r="77" spans="1:10" x14ac:dyDescent="0.25">
      <c r="A77" s="5" t="str">
        <f>BASE_ARTICLE!A77</f>
        <v>ART-0076</v>
      </c>
      <c r="B77" s="5" t="str">
        <f>BASE_ARTICLE!B77</f>
        <v>Carte de fidélité</v>
      </c>
      <c r="C77" s="5" t="s">
        <v>731</v>
      </c>
      <c r="D77" s="5" t="s">
        <v>732</v>
      </c>
      <c r="E77" s="5" t="s">
        <v>745</v>
      </c>
      <c r="F77" s="5" t="s">
        <v>734</v>
      </c>
      <c r="G77" s="5">
        <f>COUNT(BASE_ARTICLE!E77:BB77)</f>
        <v>3</v>
      </c>
      <c r="H77" s="5">
        <f>COUNT(BASE_ARTICLE!BC77:BV77)</f>
        <v>3</v>
      </c>
      <c r="I77" s="12">
        <f>SUM(BASE_ARTICLE!BC77:BV77)</f>
        <v>0.41000000000000003</v>
      </c>
      <c r="J77" s="12">
        <f t="shared" si="1"/>
        <v>6.8333333333333336E-3</v>
      </c>
    </row>
    <row r="78" spans="1:10" x14ac:dyDescent="0.25">
      <c r="A78" s="5" t="str">
        <f>BASE_ARTICLE!A78</f>
        <v>ART-0077</v>
      </c>
      <c r="B78" s="5" t="str">
        <f>BASE_ARTICLE!B78</f>
        <v>Brochure</v>
      </c>
      <c r="C78" s="5" t="s">
        <v>731</v>
      </c>
      <c r="D78" s="5" t="s">
        <v>747</v>
      </c>
      <c r="E78" s="5" t="s">
        <v>737</v>
      </c>
      <c r="F78" s="5" t="s">
        <v>734</v>
      </c>
      <c r="G78" s="5">
        <f>COUNT(BASE_ARTICLE!E78:BB78)</f>
        <v>5</v>
      </c>
      <c r="H78" s="5">
        <f>COUNT(BASE_ARTICLE!BC78:BV78)</f>
        <v>4</v>
      </c>
      <c r="I78" s="12">
        <f>SUM(BASE_ARTICLE!BC78:BV78)</f>
        <v>12.450000000000001</v>
      </c>
      <c r="J78" s="12">
        <f t="shared" si="1"/>
        <v>0.20750000000000002</v>
      </c>
    </row>
    <row r="79" spans="1:10" x14ac:dyDescent="0.25">
      <c r="A79" s="5" t="str">
        <f>BASE_ARTICLE!A79</f>
        <v>ART-0078</v>
      </c>
      <c r="B79" s="5" t="str">
        <f>BASE_ARTICLE!B79</f>
        <v>Brochure</v>
      </c>
      <c r="C79" s="5" t="s">
        <v>731</v>
      </c>
      <c r="D79" s="5" t="s">
        <v>747</v>
      </c>
      <c r="E79" s="5" t="s">
        <v>737</v>
      </c>
      <c r="F79" s="5" t="s">
        <v>734</v>
      </c>
      <c r="G79" s="5">
        <f>COUNT(BASE_ARTICLE!E79:BB79)</f>
        <v>5</v>
      </c>
      <c r="H79" s="5">
        <f>COUNT(BASE_ARTICLE!BC79:BV79)</f>
        <v>4</v>
      </c>
      <c r="I79" s="12">
        <f>SUM(BASE_ARTICLE!BC79:BV79)</f>
        <v>14.76</v>
      </c>
      <c r="J79" s="12">
        <f t="shared" si="1"/>
        <v>0.246</v>
      </c>
    </row>
    <row r="80" spans="1:10" x14ac:dyDescent="0.25">
      <c r="A80" s="5" t="str">
        <f>BASE_ARTICLE!A80</f>
        <v>ART-0079</v>
      </c>
      <c r="B80" s="5" t="str">
        <f>BASE_ARTICLE!B80</f>
        <v>Brochure</v>
      </c>
      <c r="C80" s="5" t="s">
        <v>731</v>
      </c>
      <c r="D80" s="5" t="s">
        <v>747</v>
      </c>
      <c r="E80" s="5" t="s">
        <v>737</v>
      </c>
      <c r="F80" s="5" t="s">
        <v>734</v>
      </c>
      <c r="G80" s="5">
        <f>COUNT(BASE_ARTICLE!E80:BB80)</f>
        <v>5</v>
      </c>
      <c r="H80" s="5">
        <f>COUNT(BASE_ARTICLE!BC80:BV80)</f>
        <v>4</v>
      </c>
      <c r="I80" s="12">
        <f>SUM(BASE_ARTICLE!BC80:BV80)</f>
        <v>17.07</v>
      </c>
      <c r="J80" s="12">
        <f t="shared" si="1"/>
        <v>0.28450000000000003</v>
      </c>
    </row>
    <row r="81" spans="1:10" x14ac:dyDescent="0.25">
      <c r="A81" s="5" t="str">
        <f>BASE_ARTICLE!A81</f>
        <v>ART-0080</v>
      </c>
      <c r="B81" s="5" t="str">
        <f>BASE_ARTICLE!B81</f>
        <v>Brochure</v>
      </c>
      <c r="C81" s="5" t="s">
        <v>731</v>
      </c>
      <c r="D81" s="5" t="s">
        <v>747</v>
      </c>
      <c r="E81" s="5" t="s">
        <v>737</v>
      </c>
      <c r="F81" s="5" t="s">
        <v>734</v>
      </c>
      <c r="G81" s="5">
        <f>COUNT(BASE_ARTICLE!E81:BB81)</f>
        <v>5</v>
      </c>
      <c r="H81" s="5">
        <f>COUNT(BASE_ARTICLE!BC81:BV81)</f>
        <v>4</v>
      </c>
      <c r="I81" s="12">
        <f>SUM(BASE_ARTICLE!BC81:BV81)</f>
        <v>19.380000000000003</v>
      </c>
      <c r="J81" s="12">
        <f t="shared" si="1"/>
        <v>0.32300000000000006</v>
      </c>
    </row>
    <row r="82" spans="1:10" x14ac:dyDescent="0.25">
      <c r="A82" s="5" t="str">
        <f>BASE_ARTICLE!A82</f>
        <v>ART-0081</v>
      </c>
      <c r="B82" s="5" t="str">
        <f>BASE_ARTICLE!B82</f>
        <v>Brochure</v>
      </c>
      <c r="C82" s="5" t="s">
        <v>731</v>
      </c>
      <c r="D82" s="5" t="s">
        <v>747</v>
      </c>
      <c r="E82" s="5" t="s">
        <v>737</v>
      </c>
      <c r="F82" s="5" t="s">
        <v>734</v>
      </c>
      <c r="G82" s="5">
        <f>COUNT(BASE_ARTICLE!E82:BB82)</f>
        <v>5</v>
      </c>
      <c r="H82" s="5">
        <f>COUNT(BASE_ARTICLE!BC82:BV82)</f>
        <v>4</v>
      </c>
      <c r="I82" s="12">
        <f>SUM(BASE_ARTICLE!BC82:BV82)</f>
        <v>21.689999999999998</v>
      </c>
      <c r="J82" s="12">
        <f t="shared" si="1"/>
        <v>0.36149999999999999</v>
      </c>
    </row>
    <row r="83" spans="1:10" x14ac:dyDescent="0.25">
      <c r="A83" s="5" t="str">
        <f>BASE_ARTICLE!A83</f>
        <v>ART-0082</v>
      </c>
      <c r="B83" s="5" t="str">
        <f>BASE_ARTICLE!B83</f>
        <v>Brochure</v>
      </c>
      <c r="C83" s="5" t="s">
        <v>731</v>
      </c>
      <c r="D83" s="5" t="s">
        <v>747</v>
      </c>
      <c r="E83" s="5" t="s">
        <v>737</v>
      </c>
      <c r="F83" s="5" t="s">
        <v>734</v>
      </c>
      <c r="G83" s="5">
        <f>COUNT(BASE_ARTICLE!E83:BB83)</f>
        <v>5</v>
      </c>
      <c r="H83" s="5">
        <f>COUNT(BASE_ARTICLE!BC83:BV83)</f>
        <v>4</v>
      </c>
      <c r="I83" s="12">
        <f>SUM(BASE_ARTICLE!BC83:BV83)</f>
        <v>26.310000000000002</v>
      </c>
      <c r="J83" s="12">
        <f t="shared" si="1"/>
        <v>0.43850000000000006</v>
      </c>
    </row>
    <row r="84" spans="1:10" x14ac:dyDescent="0.25">
      <c r="A84" s="5" t="str">
        <f>BASE_ARTICLE!A84</f>
        <v>ART-0083</v>
      </c>
      <c r="B84" s="5" t="str">
        <f>BASE_ARTICLE!B84</f>
        <v>Brochure</v>
      </c>
      <c r="C84" s="5" t="s">
        <v>731</v>
      </c>
      <c r="D84" s="5" t="s">
        <v>747</v>
      </c>
      <c r="E84" s="5" t="s">
        <v>737</v>
      </c>
      <c r="F84" s="5" t="s">
        <v>734</v>
      </c>
      <c r="G84" s="5">
        <f>COUNT(BASE_ARTICLE!E84:BB84)</f>
        <v>5</v>
      </c>
      <c r="H84" s="5">
        <f>COUNT(BASE_ARTICLE!BC84:BV84)</f>
        <v>4</v>
      </c>
      <c r="I84" s="12">
        <f>SUM(BASE_ARTICLE!BC84:BV84)</f>
        <v>30.93</v>
      </c>
      <c r="J84" s="12">
        <f t="shared" si="1"/>
        <v>0.51549999999999996</v>
      </c>
    </row>
    <row r="85" spans="1:10" x14ac:dyDescent="0.25">
      <c r="A85" s="5" t="str">
        <f>BASE_ARTICLE!A85</f>
        <v>ART-0084</v>
      </c>
      <c r="B85" s="5" t="str">
        <f>BASE_ARTICLE!B85</f>
        <v>Brochure</v>
      </c>
      <c r="C85" s="5" t="s">
        <v>731</v>
      </c>
      <c r="D85" s="5" t="s">
        <v>747</v>
      </c>
      <c r="E85" s="5" t="s">
        <v>736</v>
      </c>
      <c r="F85" s="5" t="s">
        <v>734</v>
      </c>
      <c r="G85" s="5">
        <f>COUNT(BASE_ARTICLE!E85:BB85)</f>
        <v>5</v>
      </c>
      <c r="H85" s="5">
        <f>COUNT(BASE_ARTICLE!BC85:BV85)</f>
        <v>4</v>
      </c>
      <c r="I85" s="12">
        <f>SUM(BASE_ARTICLE!BC85:BV85)</f>
        <v>8.73</v>
      </c>
      <c r="J85" s="12">
        <f t="shared" si="1"/>
        <v>0.14550000000000002</v>
      </c>
    </row>
    <row r="86" spans="1:10" x14ac:dyDescent="0.25">
      <c r="A86" s="5" t="str">
        <f>BASE_ARTICLE!A86</f>
        <v>ART-0085</v>
      </c>
      <c r="B86" s="5" t="str">
        <f>BASE_ARTICLE!B86</f>
        <v>Brochure</v>
      </c>
      <c r="C86" s="5" t="s">
        <v>731</v>
      </c>
      <c r="D86" s="5" t="s">
        <v>747</v>
      </c>
      <c r="E86" s="5" t="s">
        <v>736</v>
      </c>
      <c r="F86" s="5" t="s">
        <v>734</v>
      </c>
      <c r="G86" s="5">
        <f>COUNT(BASE_ARTICLE!E86:BB86)</f>
        <v>5</v>
      </c>
      <c r="H86" s="5">
        <f>COUNT(BASE_ARTICLE!BC86:BV86)</f>
        <v>4</v>
      </c>
      <c r="I86" s="12">
        <f>SUM(BASE_ARTICLE!BC86:BV86)</f>
        <v>9.8800000000000008</v>
      </c>
      <c r="J86" s="12">
        <f t="shared" si="1"/>
        <v>0.16466666666666668</v>
      </c>
    </row>
    <row r="87" spans="1:10" x14ac:dyDescent="0.25">
      <c r="A87" s="5" t="str">
        <f>BASE_ARTICLE!A87</f>
        <v>ART-0086</v>
      </c>
      <c r="B87" s="5" t="str">
        <f>BASE_ARTICLE!B87</f>
        <v>Brochure</v>
      </c>
      <c r="C87" s="5" t="s">
        <v>731</v>
      </c>
      <c r="D87" s="5" t="s">
        <v>747</v>
      </c>
      <c r="E87" s="5" t="s">
        <v>736</v>
      </c>
      <c r="F87" s="5" t="s">
        <v>734</v>
      </c>
      <c r="G87" s="5">
        <f>COUNT(BASE_ARTICLE!E87:BB87)</f>
        <v>5</v>
      </c>
      <c r="H87" s="5">
        <f>COUNT(BASE_ARTICLE!BC87:BV87)</f>
        <v>4</v>
      </c>
      <c r="I87" s="12">
        <f>SUM(BASE_ARTICLE!BC87:BV87)</f>
        <v>11.040000000000001</v>
      </c>
      <c r="J87" s="12">
        <f t="shared" si="1"/>
        <v>0.18400000000000002</v>
      </c>
    </row>
    <row r="88" spans="1:10" x14ac:dyDescent="0.25">
      <c r="A88" s="5" t="str">
        <f>BASE_ARTICLE!A88</f>
        <v>ART-0087</v>
      </c>
      <c r="B88" s="5" t="str">
        <f>BASE_ARTICLE!B88</f>
        <v>Brochure</v>
      </c>
      <c r="C88" s="5" t="s">
        <v>731</v>
      </c>
      <c r="D88" s="5" t="s">
        <v>747</v>
      </c>
      <c r="E88" s="5" t="s">
        <v>736</v>
      </c>
      <c r="F88" s="5" t="s">
        <v>734</v>
      </c>
      <c r="G88" s="5">
        <f>COUNT(BASE_ARTICLE!E88:BB88)</f>
        <v>5</v>
      </c>
      <c r="H88" s="5">
        <f>COUNT(BASE_ARTICLE!BC88:BV88)</f>
        <v>4</v>
      </c>
      <c r="I88" s="12">
        <f>SUM(BASE_ARTICLE!BC88:BV88)</f>
        <v>12.19</v>
      </c>
      <c r="J88" s="12">
        <f t="shared" si="1"/>
        <v>0.20316666666666666</v>
      </c>
    </row>
    <row r="89" spans="1:10" x14ac:dyDescent="0.25">
      <c r="A89" s="5" t="str">
        <f>BASE_ARTICLE!A89</f>
        <v>ART-0088</v>
      </c>
      <c r="B89" s="5" t="str">
        <f>BASE_ARTICLE!B89</f>
        <v>Brochure</v>
      </c>
      <c r="C89" s="5" t="s">
        <v>731</v>
      </c>
      <c r="D89" s="5" t="s">
        <v>747</v>
      </c>
      <c r="E89" s="5" t="s">
        <v>736</v>
      </c>
      <c r="F89" s="5" t="s">
        <v>734</v>
      </c>
      <c r="G89" s="5">
        <f>COUNT(BASE_ARTICLE!E89:BB89)</f>
        <v>5</v>
      </c>
      <c r="H89" s="5">
        <f>COUNT(BASE_ARTICLE!BC89:BV89)</f>
        <v>4</v>
      </c>
      <c r="I89" s="12">
        <f>SUM(BASE_ARTICLE!BC89:BV89)</f>
        <v>13.35</v>
      </c>
      <c r="J89" s="12">
        <f t="shared" si="1"/>
        <v>0.2225</v>
      </c>
    </row>
    <row r="90" spans="1:10" x14ac:dyDescent="0.25">
      <c r="A90" s="5" t="str">
        <f>BASE_ARTICLE!A90</f>
        <v>ART-0089</v>
      </c>
      <c r="B90" s="5" t="str">
        <f>BASE_ARTICLE!B90</f>
        <v>Brochure</v>
      </c>
      <c r="C90" s="5" t="s">
        <v>731</v>
      </c>
      <c r="D90" s="5" t="s">
        <v>747</v>
      </c>
      <c r="E90" s="5" t="s">
        <v>736</v>
      </c>
      <c r="F90" s="5" t="s">
        <v>734</v>
      </c>
      <c r="G90" s="5">
        <f>COUNT(BASE_ARTICLE!E90:BB90)</f>
        <v>5</v>
      </c>
      <c r="H90" s="5">
        <f>COUNT(BASE_ARTICLE!BC90:BV90)</f>
        <v>4</v>
      </c>
      <c r="I90" s="12">
        <f>SUM(BASE_ARTICLE!BC90:BV90)</f>
        <v>15.66</v>
      </c>
      <c r="J90" s="12">
        <f t="shared" si="1"/>
        <v>0.26100000000000001</v>
      </c>
    </row>
    <row r="91" spans="1:10" x14ac:dyDescent="0.25">
      <c r="A91" s="5" t="str">
        <f>BASE_ARTICLE!A91</f>
        <v>ART-0090</v>
      </c>
      <c r="B91" s="5" t="str">
        <f>BASE_ARTICLE!B91</f>
        <v>Brochure</v>
      </c>
      <c r="C91" s="5" t="s">
        <v>731</v>
      </c>
      <c r="D91" s="5" t="s">
        <v>747</v>
      </c>
      <c r="E91" s="5" t="s">
        <v>736</v>
      </c>
      <c r="F91" s="5" t="s">
        <v>734</v>
      </c>
      <c r="G91" s="5">
        <f>COUNT(BASE_ARTICLE!E91:BB91)</f>
        <v>5</v>
      </c>
      <c r="H91" s="5">
        <f>COUNT(BASE_ARTICLE!BC91:BV91)</f>
        <v>4</v>
      </c>
      <c r="I91" s="12">
        <f>SUM(BASE_ARTICLE!BC91:BV91)</f>
        <v>17.97</v>
      </c>
      <c r="J91" s="12">
        <f t="shared" si="1"/>
        <v>0.29949999999999999</v>
      </c>
    </row>
    <row r="92" spans="1:10" x14ac:dyDescent="0.25">
      <c r="A92" s="5" t="str">
        <f>BASE_ARTICLE!A92</f>
        <v>ART-0091</v>
      </c>
      <c r="B92" s="5" t="str">
        <f>BASE_ARTICLE!B92</f>
        <v>Catalogue</v>
      </c>
      <c r="C92" s="5" t="s">
        <v>731</v>
      </c>
      <c r="D92" s="5" t="s">
        <v>747</v>
      </c>
      <c r="E92" s="5" t="s">
        <v>737</v>
      </c>
      <c r="F92" s="5" t="s">
        <v>734</v>
      </c>
      <c r="G92" s="5">
        <f>COUNT(BASE_ARTICLE!E92:BB92)</f>
        <v>5</v>
      </c>
      <c r="H92" s="5">
        <f>COUNT(BASE_ARTICLE!BC92:BV92)</f>
        <v>4</v>
      </c>
      <c r="I92" s="12">
        <f>SUM(BASE_ARTICLE!BC92:BV92)</f>
        <v>47.879999999999995</v>
      </c>
      <c r="J92" s="12">
        <f t="shared" si="1"/>
        <v>0.79799999999999993</v>
      </c>
    </row>
    <row r="93" spans="1:10" x14ac:dyDescent="0.25">
      <c r="A93" s="5" t="str">
        <f>BASE_ARTICLE!A93</f>
        <v>ART-0092</v>
      </c>
      <c r="B93" s="5" t="str">
        <f>BASE_ARTICLE!B93</f>
        <v>Catalogue</v>
      </c>
      <c r="C93" s="5" t="s">
        <v>731</v>
      </c>
      <c r="D93" s="5" t="s">
        <v>747</v>
      </c>
      <c r="E93" s="5" t="s">
        <v>737</v>
      </c>
      <c r="F93" s="5" t="s">
        <v>734</v>
      </c>
      <c r="G93" s="5">
        <f>COUNT(BASE_ARTICLE!E93:BB93)</f>
        <v>5</v>
      </c>
      <c r="H93" s="5">
        <f>COUNT(BASE_ARTICLE!BC93:BV93)</f>
        <v>4</v>
      </c>
      <c r="I93" s="12">
        <f>SUM(BASE_ARTICLE!BC93:BV93)</f>
        <v>52.08</v>
      </c>
      <c r="J93" s="12">
        <f t="shared" si="1"/>
        <v>0.86799999999999999</v>
      </c>
    </row>
    <row r="94" spans="1:10" x14ac:dyDescent="0.25">
      <c r="A94" s="5" t="str">
        <f>BASE_ARTICLE!A94</f>
        <v>ART-0093</v>
      </c>
      <c r="B94" s="5" t="str">
        <f>BASE_ARTICLE!B94</f>
        <v>Catalogue</v>
      </c>
      <c r="C94" s="5" t="s">
        <v>731</v>
      </c>
      <c r="D94" s="5" t="s">
        <v>747</v>
      </c>
      <c r="E94" s="5" t="s">
        <v>737</v>
      </c>
      <c r="F94" s="5" t="s">
        <v>734</v>
      </c>
      <c r="G94" s="5">
        <f>COUNT(BASE_ARTICLE!E94:BB94)</f>
        <v>5</v>
      </c>
      <c r="H94" s="5">
        <f>COUNT(BASE_ARTICLE!BC94:BV94)</f>
        <v>4</v>
      </c>
      <c r="I94" s="12">
        <f>SUM(BASE_ARTICLE!BC94:BV94)</f>
        <v>60.48</v>
      </c>
      <c r="J94" s="12">
        <f t="shared" si="1"/>
        <v>1.008</v>
      </c>
    </row>
    <row r="95" spans="1:10" x14ac:dyDescent="0.25">
      <c r="A95" s="5" t="str">
        <f>BASE_ARTICLE!A95</f>
        <v>ART-0094</v>
      </c>
      <c r="B95" s="5" t="str">
        <f>BASE_ARTICLE!B95</f>
        <v>Catalogue</v>
      </c>
      <c r="C95" s="5" t="s">
        <v>731</v>
      </c>
      <c r="D95" s="5" t="s">
        <v>747</v>
      </c>
      <c r="E95" s="5" t="s">
        <v>737</v>
      </c>
      <c r="F95" s="5" t="s">
        <v>734</v>
      </c>
      <c r="G95" s="5">
        <f>COUNT(BASE_ARTICLE!E95:BB95)</f>
        <v>5</v>
      </c>
      <c r="H95" s="5">
        <f>COUNT(BASE_ARTICLE!BC95:BV95)</f>
        <v>4</v>
      </c>
      <c r="I95" s="12">
        <f>SUM(BASE_ARTICLE!BC95:BV95)</f>
        <v>68.88</v>
      </c>
      <c r="J95" s="12">
        <f t="shared" si="1"/>
        <v>1.1479999999999999</v>
      </c>
    </row>
    <row r="96" spans="1:10" x14ac:dyDescent="0.25">
      <c r="A96" s="5" t="str">
        <f>BASE_ARTICLE!A96</f>
        <v>ART-0095</v>
      </c>
      <c r="B96" s="5" t="str">
        <f>BASE_ARTICLE!B96</f>
        <v>Catalogue</v>
      </c>
      <c r="C96" s="5" t="s">
        <v>731</v>
      </c>
      <c r="D96" s="5" t="s">
        <v>747</v>
      </c>
      <c r="E96" s="5" t="s">
        <v>737</v>
      </c>
      <c r="F96" s="5" t="s">
        <v>734</v>
      </c>
      <c r="G96" s="5">
        <f>COUNT(BASE_ARTICLE!E96:BB96)</f>
        <v>5</v>
      </c>
      <c r="H96" s="5">
        <f>COUNT(BASE_ARTICLE!BC96:BV96)</f>
        <v>4</v>
      </c>
      <c r="I96" s="12">
        <f>SUM(BASE_ARTICLE!BC96:BV96)</f>
        <v>79.38</v>
      </c>
      <c r="J96" s="12">
        <f t="shared" si="1"/>
        <v>1.323</v>
      </c>
    </row>
    <row r="97" spans="1:10" x14ac:dyDescent="0.25">
      <c r="A97" s="5" t="str">
        <f>BASE_ARTICLE!A97</f>
        <v>ART-0096</v>
      </c>
      <c r="B97" s="5" t="str">
        <f>BASE_ARTICLE!B97</f>
        <v>Livre</v>
      </c>
      <c r="C97" s="5" t="s">
        <v>731</v>
      </c>
      <c r="D97" s="5" t="s">
        <v>747</v>
      </c>
      <c r="E97" s="5" t="s">
        <v>736</v>
      </c>
      <c r="F97" s="5" t="s">
        <v>734</v>
      </c>
      <c r="G97" s="5">
        <f>COUNT(BASE_ARTICLE!E97:BB97)</f>
        <v>5</v>
      </c>
      <c r="H97" s="5">
        <f>COUNT(BASE_ARTICLE!BC97:BV97)</f>
        <v>4</v>
      </c>
      <c r="I97" s="12">
        <f>SUM(BASE_ARTICLE!BC97:BV97)</f>
        <v>45.94</v>
      </c>
      <c r="J97" s="12">
        <f t="shared" si="1"/>
        <v>0.76566666666666661</v>
      </c>
    </row>
    <row r="98" spans="1:10" x14ac:dyDescent="0.25">
      <c r="A98" s="5" t="str">
        <f>BASE_ARTICLE!A98</f>
        <v>ART-0097</v>
      </c>
      <c r="B98" s="5" t="str">
        <f>BASE_ARTICLE!B98</f>
        <v>Livre</v>
      </c>
      <c r="C98" s="5" t="s">
        <v>731</v>
      </c>
      <c r="D98" s="5" t="s">
        <v>747</v>
      </c>
      <c r="E98" s="5" t="s">
        <v>736</v>
      </c>
      <c r="F98" s="5" t="s">
        <v>734</v>
      </c>
      <c r="G98" s="5">
        <f>COUNT(BASE_ARTICLE!E98:BB98)</f>
        <v>5</v>
      </c>
      <c r="H98" s="5">
        <f>COUNT(BASE_ARTICLE!BC98:BV98)</f>
        <v>4</v>
      </c>
      <c r="I98" s="12">
        <f>SUM(BASE_ARTICLE!BC98:BV98)</f>
        <v>51.19</v>
      </c>
      <c r="J98" s="12">
        <f t="shared" si="1"/>
        <v>0.85316666666666663</v>
      </c>
    </row>
    <row r="99" spans="1:10" x14ac:dyDescent="0.25">
      <c r="A99" s="5" t="str">
        <f>BASE_ARTICLE!A99</f>
        <v>ART-0098</v>
      </c>
      <c r="B99" s="5" t="str">
        <f>BASE_ARTICLE!B99</f>
        <v>Livre</v>
      </c>
      <c r="C99" s="5" t="s">
        <v>731</v>
      </c>
      <c r="D99" s="5" t="s">
        <v>747</v>
      </c>
      <c r="E99" s="5" t="s">
        <v>736</v>
      </c>
      <c r="F99" s="5" t="s">
        <v>734</v>
      </c>
      <c r="G99" s="5">
        <f>COUNT(BASE_ARTICLE!E99:BB99)</f>
        <v>5</v>
      </c>
      <c r="H99" s="5">
        <f>COUNT(BASE_ARTICLE!BC99:BV99)</f>
        <v>4</v>
      </c>
      <c r="I99" s="12">
        <f>SUM(BASE_ARTICLE!BC99:BV99)</f>
        <v>64.319999999999993</v>
      </c>
      <c r="J99" s="12">
        <f t="shared" si="1"/>
        <v>1.0719999999999998</v>
      </c>
    </row>
    <row r="100" spans="1:10" x14ac:dyDescent="0.25">
      <c r="A100" s="5" t="str">
        <f>BASE_ARTICLE!A100</f>
        <v>ART-0099</v>
      </c>
      <c r="B100" s="5" t="str">
        <f>BASE_ARTICLE!B100</f>
        <v>Livre</v>
      </c>
      <c r="C100" s="5" t="s">
        <v>731</v>
      </c>
      <c r="D100" s="5" t="s">
        <v>747</v>
      </c>
      <c r="E100" s="5" t="s">
        <v>736</v>
      </c>
      <c r="F100" s="5" t="s">
        <v>734</v>
      </c>
      <c r="G100" s="5">
        <f>COUNT(BASE_ARTICLE!E100:BB100)</f>
        <v>5</v>
      </c>
      <c r="H100" s="5">
        <f>COUNT(BASE_ARTICLE!BC100:BV100)</f>
        <v>4</v>
      </c>
      <c r="I100" s="12">
        <f>SUM(BASE_ARTICLE!BC100:BV100)</f>
        <v>77.440000000000012</v>
      </c>
      <c r="J100" s="12">
        <f t="shared" si="1"/>
        <v>1.2906666666666669</v>
      </c>
    </row>
    <row r="101" spans="1:10" x14ac:dyDescent="0.25">
      <c r="A101" s="5" t="str">
        <f>BASE_ARTICLE!A101</f>
        <v>ART-0100</v>
      </c>
      <c r="B101" s="5" t="str">
        <f>BASE_ARTICLE!B101</f>
        <v>Livre</v>
      </c>
      <c r="C101" s="5" t="s">
        <v>731</v>
      </c>
      <c r="D101" s="5" t="s">
        <v>747</v>
      </c>
      <c r="E101" s="5" t="s">
        <v>736</v>
      </c>
      <c r="F101" s="5" t="s">
        <v>734</v>
      </c>
      <c r="G101" s="5">
        <f>COUNT(BASE_ARTICLE!E101:BB101)</f>
        <v>5</v>
      </c>
      <c r="H101" s="5">
        <f>COUNT(BASE_ARTICLE!BC101:BV101)</f>
        <v>4</v>
      </c>
      <c r="I101" s="12">
        <f>SUM(BASE_ARTICLE!BC101:BV101)</f>
        <v>90.570000000000007</v>
      </c>
      <c r="J101" s="12">
        <f t="shared" si="1"/>
        <v>1.5095000000000001</v>
      </c>
    </row>
    <row r="102" spans="1:10" x14ac:dyDescent="0.25">
      <c r="A102" s="5" t="str">
        <f>BASE_ARTICLE!A102</f>
        <v>ART-0101</v>
      </c>
      <c r="B102" s="5" t="str">
        <f>BASE_ARTICLE!B102</f>
        <v>Livre</v>
      </c>
      <c r="C102" s="5" t="s">
        <v>731</v>
      </c>
      <c r="D102" s="5" t="s">
        <v>747</v>
      </c>
      <c r="E102" s="5" t="s">
        <v>736</v>
      </c>
      <c r="F102" s="5" t="s">
        <v>734</v>
      </c>
      <c r="G102" s="5">
        <f>COUNT(BASE_ARTICLE!E102:BB102)</f>
        <v>5</v>
      </c>
      <c r="H102" s="5">
        <f>COUNT(BASE_ARTICLE!BC102:BV102)</f>
        <v>4</v>
      </c>
      <c r="I102" s="12">
        <f>SUM(BASE_ARTICLE!BC102:BV102)</f>
        <v>103.7</v>
      </c>
      <c r="J102" s="12">
        <f t="shared" si="1"/>
        <v>1.7283333333333333</v>
      </c>
    </row>
    <row r="103" spans="1:10" x14ac:dyDescent="0.25">
      <c r="A103" s="5" t="str">
        <f>BASE_ARTICLE!A103</f>
        <v>ART-0102</v>
      </c>
      <c r="B103" s="5" t="str">
        <f>BASE_ARTICLE!B103</f>
        <v>Livre</v>
      </c>
      <c r="C103" s="5" t="s">
        <v>731</v>
      </c>
      <c r="D103" s="5" t="s">
        <v>747</v>
      </c>
      <c r="E103" s="5" t="s">
        <v>737</v>
      </c>
      <c r="F103" s="5" t="s">
        <v>734</v>
      </c>
      <c r="G103" s="5">
        <f>COUNT(BASE_ARTICLE!E103:BB103)</f>
        <v>5</v>
      </c>
      <c r="H103" s="5">
        <f>COUNT(BASE_ARTICLE!BC103:BV103)</f>
        <v>4</v>
      </c>
      <c r="I103" s="12">
        <f>SUM(BASE_ARTICLE!BC103:BV103)</f>
        <v>79.38</v>
      </c>
      <c r="J103" s="12">
        <f t="shared" si="1"/>
        <v>1.323</v>
      </c>
    </row>
    <row r="104" spans="1:10" x14ac:dyDescent="0.25">
      <c r="A104" s="5" t="str">
        <f>BASE_ARTICLE!A104</f>
        <v>ART-0103</v>
      </c>
      <c r="B104" s="5" t="str">
        <f>BASE_ARTICLE!B104</f>
        <v>Livre</v>
      </c>
      <c r="C104" s="5" t="s">
        <v>731</v>
      </c>
      <c r="D104" s="5" t="s">
        <v>747</v>
      </c>
      <c r="E104" s="5" t="s">
        <v>737</v>
      </c>
      <c r="F104" s="5" t="s">
        <v>734</v>
      </c>
      <c r="G104" s="5">
        <f>COUNT(BASE_ARTICLE!E104:BB104)</f>
        <v>5</v>
      </c>
      <c r="H104" s="5">
        <f>COUNT(BASE_ARTICLE!BC104:BV104)</f>
        <v>4</v>
      </c>
      <c r="I104" s="12">
        <f>SUM(BASE_ARTICLE!BC104:BV104)</f>
        <v>105.63</v>
      </c>
      <c r="J104" s="12">
        <f t="shared" si="1"/>
        <v>1.7605</v>
      </c>
    </row>
    <row r="105" spans="1:10" x14ac:dyDescent="0.25">
      <c r="A105" s="5" t="str">
        <f>BASE_ARTICLE!A105</f>
        <v>ART-0104</v>
      </c>
      <c r="B105" s="5" t="str">
        <f>BASE_ARTICLE!B105</f>
        <v>Mémoire</v>
      </c>
      <c r="C105" s="5" t="s">
        <v>731</v>
      </c>
      <c r="D105" s="5" t="s">
        <v>747</v>
      </c>
      <c r="E105" s="5" t="s">
        <v>737</v>
      </c>
      <c r="F105" s="5" t="s">
        <v>734</v>
      </c>
      <c r="G105" s="5">
        <f>COUNT(BASE_ARTICLE!E105:BB105)</f>
        <v>5</v>
      </c>
      <c r="H105" s="5">
        <f>COUNT(BASE_ARTICLE!BC105:BV105)</f>
        <v>4</v>
      </c>
      <c r="I105" s="12">
        <f>SUM(BASE_ARTICLE!BC105:BV105)</f>
        <v>58.379999999999995</v>
      </c>
      <c r="J105" s="12">
        <f t="shared" si="1"/>
        <v>0.97299999999999998</v>
      </c>
    </row>
    <row r="106" spans="1:10" x14ac:dyDescent="0.25">
      <c r="A106" s="5" t="str">
        <f>BASE_ARTICLE!A106</f>
        <v>ART-0105</v>
      </c>
      <c r="B106" s="5" t="str">
        <f>BASE_ARTICLE!B106</f>
        <v>Mémoire</v>
      </c>
      <c r="C106" s="5" t="s">
        <v>731</v>
      </c>
      <c r="D106" s="5" t="s">
        <v>747</v>
      </c>
      <c r="E106" s="5" t="s">
        <v>737</v>
      </c>
      <c r="F106" s="5" t="s">
        <v>734</v>
      </c>
      <c r="G106" s="5">
        <f>COUNT(BASE_ARTICLE!E106:BB106)</f>
        <v>5</v>
      </c>
      <c r="H106" s="5">
        <f>COUNT(BASE_ARTICLE!BC106:BV106)</f>
        <v>4</v>
      </c>
      <c r="I106" s="12">
        <f>SUM(BASE_ARTICLE!BC106:BV106)</f>
        <v>79.38</v>
      </c>
      <c r="J106" s="12">
        <f t="shared" si="1"/>
        <v>1.323</v>
      </c>
    </row>
    <row r="107" spans="1:10" x14ac:dyDescent="0.25">
      <c r="A107" s="5" t="str">
        <f>BASE_ARTICLE!A107</f>
        <v>ART-0106</v>
      </c>
      <c r="B107" s="5" t="str">
        <f>BASE_ARTICLE!B107</f>
        <v>Mémoire</v>
      </c>
      <c r="C107" s="5" t="s">
        <v>731</v>
      </c>
      <c r="D107" s="5" t="s">
        <v>747</v>
      </c>
      <c r="E107" s="5" t="s">
        <v>737</v>
      </c>
      <c r="F107" s="5" t="s">
        <v>734</v>
      </c>
      <c r="G107" s="5">
        <f>COUNT(BASE_ARTICLE!E107:BB107)</f>
        <v>5</v>
      </c>
      <c r="H107" s="5">
        <f>COUNT(BASE_ARTICLE!BC107:BV107)</f>
        <v>4</v>
      </c>
      <c r="I107" s="12">
        <f>SUM(BASE_ARTICLE!BC107:BV107)</f>
        <v>105.63</v>
      </c>
      <c r="J107" s="12">
        <f t="shared" si="1"/>
        <v>1.7605</v>
      </c>
    </row>
    <row r="108" spans="1:10" x14ac:dyDescent="0.25">
      <c r="A108" s="5" t="str">
        <f>BASE_ARTICLE!A108</f>
        <v>ART-0107</v>
      </c>
      <c r="B108" s="5" t="str">
        <f>BASE_ARTICLE!B108</f>
        <v>Rapport</v>
      </c>
      <c r="C108" s="5" t="s">
        <v>731</v>
      </c>
      <c r="D108" s="5" t="s">
        <v>747</v>
      </c>
      <c r="E108" s="5" t="s">
        <v>737</v>
      </c>
      <c r="F108" s="5" t="s">
        <v>734</v>
      </c>
      <c r="G108" s="5">
        <f>COUNT(BASE_ARTICLE!E108:BB108)</f>
        <v>5</v>
      </c>
      <c r="H108" s="5">
        <f>COUNT(BASE_ARTICLE!BC108:BV108)</f>
        <v>3</v>
      </c>
      <c r="I108" s="12">
        <f>SUM(BASE_ARTICLE!BC108:BV108)</f>
        <v>37.870000000000005</v>
      </c>
      <c r="J108" s="12">
        <f t="shared" si="1"/>
        <v>0.63116666666666676</v>
      </c>
    </row>
    <row r="109" spans="1:10" x14ac:dyDescent="0.25">
      <c r="A109" s="5" t="str">
        <f>BASE_ARTICLE!A109</f>
        <v>ART-0108</v>
      </c>
      <c r="B109" s="5" t="str">
        <f>BASE_ARTICLE!B109</f>
        <v>Rapport</v>
      </c>
      <c r="C109" s="5" t="s">
        <v>731</v>
      </c>
      <c r="D109" s="5" t="s">
        <v>747</v>
      </c>
      <c r="E109" s="5" t="s">
        <v>737</v>
      </c>
      <c r="F109" s="5" t="s">
        <v>734</v>
      </c>
      <c r="G109" s="5">
        <f>COUNT(BASE_ARTICLE!E109:BB109)</f>
        <v>5</v>
      </c>
      <c r="H109" s="5">
        <f>COUNT(BASE_ARTICLE!BC109:BV109)</f>
        <v>3</v>
      </c>
      <c r="I109" s="12">
        <f>SUM(BASE_ARTICLE!BC109:BV109)</f>
        <v>63.16</v>
      </c>
      <c r="J109" s="12">
        <f t="shared" si="1"/>
        <v>1.0526666666666666</v>
      </c>
    </row>
    <row r="110" spans="1:10" x14ac:dyDescent="0.25">
      <c r="A110" s="5" t="str">
        <f>BASE_ARTICLE!A110</f>
        <v>ART-0109</v>
      </c>
      <c r="B110" s="5" t="str">
        <f>BASE_ARTICLE!B110</f>
        <v>Rapport</v>
      </c>
      <c r="C110" s="5" t="s">
        <v>731</v>
      </c>
      <c r="D110" s="5" t="s">
        <v>747</v>
      </c>
      <c r="E110" s="5" t="s">
        <v>737</v>
      </c>
      <c r="F110" s="5" t="s">
        <v>734</v>
      </c>
      <c r="G110" s="5">
        <f>COUNT(BASE_ARTICLE!E110:BB110)</f>
        <v>5</v>
      </c>
      <c r="H110" s="5">
        <f>COUNT(BASE_ARTICLE!BC110:BV110)</f>
        <v>3</v>
      </c>
      <c r="I110" s="12">
        <f>SUM(BASE_ARTICLE!BC110:BV110)</f>
        <v>105.33</v>
      </c>
      <c r="J110" s="12">
        <f t="shared" si="1"/>
        <v>1.7555000000000001</v>
      </c>
    </row>
    <row r="111" spans="1:10" x14ac:dyDescent="0.25">
      <c r="A111" s="5" t="str">
        <f>BASE_ARTICLE!A111</f>
        <v>ART-0110</v>
      </c>
      <c r="B111" s="5" t="str">
        <f>BASE_ARTICLE!B111</f>
        <v>Rapport</v>
      </c>
      <c r="C111" s="5" t="s">
        <v>731</v>
      </c>
      <c r="D111" s="5" t="s">
        <v>747</v>
      </c>
      <c r="E111" s="5" t="s">
        <v>737</v>
      </c>
      <c r="F111" s="5" t="s">
        <v>734</v>
      </c>
      <c r="G111" s="5">
        <f>COUNT(BASE_ARTICLE!E111:BB111)</f>
        <v>5</v>
      </c>
      <c r="H111" s="5">
        <f>COUNT(BASE_ARTICLE!BC111:BV111)</f>
        <v>3</v>
      </c>
      <c r="I111" s="12">
        <f>SUM(BASE_ARTICLE!BC111:BV111)</f>
        <v>147.49</v>
      </c>
      <c r="J111" s="12">
        <f t="shared" si="1"/>
        <v>2.4581666666666666</v>
      </c>
    </row>
    <row r="112" spans="1:10" x14ac:dyDescent="0.25">
      <c r="A112" s="5" t="str">
        <f>BASE_ARTICLE!A112</f>
        <v>ART-0111</v>
      </c>
      <c r="B112" s="5" t="str">
        <f>BASE_ARTICLE!B112</f>
        <v>Rapport</v>
      </c>
      <c r="C112" s="5" t="s">
        <v>731</v>
      </c>
      <c r="D112" s="5" t="s">
        <v>747</v>
      </c>
      <c r="E112" s="5" t="s">
        <v>736</v>
      </c>
      <c r="F112" s="5" t="s">
        <v>734</v>
      </c>
      <c r="G112" s="5">
        <f>COUNT(BASE_ARTICLE!E112:BB112)</f>
        <v>5</v>
      </c>
      <c r="H112" s="5">
        <f>COUNT(BASE_ARTICLE!BC112:BV112)</f>
        <v>3</v>
      </c>
      <c r="I112" s="12">
        <f>SUM(BASE_ARTICLE!BC112:BV112)</f>
        <v>32.090000000000003</v>
      </c>
      <c r="J112" s="12">
        <f t="shared" si="1"/>
        <v>0.53483333333333338</v>
      </c>
    </row>
    <row r="113" spans="1:10" x14ac:dyDescent="0.25">
      <c r="A113" s="5" t="str">
        <f>BASE_ARTICLE!A113</f>
        <v>ART-0112</v>
      </c>
      <c r="B113" s="5" t="str">
        <f>BASE_ARTICLE!B113</f>
        <v>Rapport</v>
      </c>
      <c r="C113" s="5" t="s">
        <v>731</v>
      </c>
      <c r="D113" s="5" t="s">
        <v>747</v>
      </c>
      <c r="E113" s="5" t="s">
        <v>736</v>
      </c>
      <c r="F113" s="5" t="s">
        <v>734</v>
      </c>
      <c r="G113" s="5">
        <f>COUNT(BASE_ARTICLE!E113:BB113)</f>
        <v>5</v>
      </c>
      <c r="H113" s="5">
        <f>COUNT(BASE_ARTICLE!BC113:BV113)</f>
        <v>3</v>
      </c>
      <c r="I113" s="12">
        <f>SUM(BASE_ARTICLE!BC113:BV113)</f>
        <v>48.72</v>
      </c>
      <c r="J113" s="12">
        <f t="shared" si="1"/>
        <v>0.81199999999999994</v>
      </c>
    </row>
    <row r="114" spans="1:10" x14ac:dyDescent="0.25">
      <c r="A114" s="5" t="str">
        <f>BASE_ARTICLE!A114</f>
        <v>ART-0113</v>
      </c>
      <c r="B114" s="5" t="str">
        <f>BASE_ARTICLE!B114</f>
        <v>Rapport</v>
      </c>
      <c r="C114" s="5" t="s">
        <v>731</v>
      </c>
      <c r="D114" s="5" t="s">
        <v>747</v>
      </c>
      <c r="E114" s="5" t="s">
        <v>736</v>
      </c>
      <c r="F114" s="5" t="s">
        <v>734</v>
      </c>
      <c r="G114" s="5">
        <f>COUNT(BASE_ARTICLE!E114:BB114)</f>
        <v>5</v>
      </c>
      <c r="H114" s="5">
        <f>COUNT(BASE_ARTICLE!BC114:BV114)</f>
        <v>3</v>
      </c>
      <c r="I114" s="12">
        <f>SUM(BASE_ARTICLE!BC114:BV114)</f>
        <v>76.45</v>
      </c>
      <c r="J114" s="12">
        <f t="shared" si="1"/>
        <v>1.2741666666666667</v>
      </c>
    </row>
    <row r="115" spans="1:10" x14ac:dyDescent="0.25">
      <c r="A115" s="5" t="str">
        <f>BASE_ARTICLE!A115</f>
        <v>ART-0114</v>
      </c>
      <c r="B115" s="5" t="str">
        <f>BASE_ARTICLE!B115</f>
        <v>Calendrier</v>
      </c>
      <c r="C115" s="5" t="s">
        <v>731</v>
      </c>
      <c r="D115" s="5" t="s">
        <v>747</v>
      </c>
      <c r="E115" s="5" t="s">
        <v>741</v>
      </c>
      <c r="F115" s="5" t="s">
        <v>734</v>
      </c>
      <c r="G115" s="5">
        <f>COUNT(BASE_ARTICLE!E115:BB115)</f>
        <v>3</v>
      </c>
      <c r="H115" s="5">
        <f>COUNT(BASE_ARTICLE!BC115:BV115)</f>
        <v>3</v>
      </c>
      <c r="I115" s="12">
        <f>SUM(BASE_ARTICLE!BC115:BV115)</f>
        <v>76.789999999999992</v>
      </c>
      <c r="J115" s="12">
        <f t="shared" si="1"/>
        <v>1.2798333333333332</v>
      </c>
    </row>
    <row r="116" spans="1:10" x14ac:dyDescent="0.25">
      <c r="A116" s="5" t="str">
        <f>BASE_ARTICLE!A116</f>
        <v>ART-0115</v>
      </c>
      <c r="B116" s="5" t="str">
        <f>BASE_ARTICLE!B116</f>
        <v>Calendrier</v>
      </c>
      <c r="C116" s="5" t="s">
        <v>731</v>
      </c>
      <c r="D116" s="5" t="s">
        <v>747</v>
      </c>
      <c r="E116" s="5" t="s">
        <v>737</v>
      </c>
      <c r="F116" s="5" t="s">
        <v>734</v>
      </c>
      <c r="G116" s="5">
        <f>COUNT(BASE_ARTICLE!E116:BB116)</f>
        <v>3</v>
      </c>
      <c r="H116" s="5">
        <f>COUNT(BASE_ARTICLE!BC116:BV116)</f>
        <v>3</v>
      </c>
      <c r="I116" s="12">
        <f>SUM(BASE_ARTICLE!BC116:BV116)</f>
        <v>58.6</v>
      </c>
      <c r="J116" s="12">
        <f t="shared" si="1"/>
        <v>0.97666666666666668</v>
      </c>
    </row>
    <row r="117" spans="1:10" x14ac:dyDescent="0.25">
      <c r="A117" s="5" t="str">
        <f>BASE_ARTICLE!A117</f>
        <v>ART-0116</v>
      </c>
      <c r="B117" s="5" t="str">
        <f>BASE_ARTICLE!B117</f>
        <v>Calendrier</v>
      </c>
      <c r="C117" s="5" t="s">
        <v>731</v>
      </c>
      <c r="D117" s="5" t="s">
        <v>747</v>
      </c>
      <c r="E117" s="5" t="s">
        <v>736</v>
      </c>
      <c r="F117" s="5" t="s">
        <v>734</v>
      </c>
      <c r="G117" s="5">
        <f>COUNT(BASE_ARTICLE!E117:BB117)</f>
        <v>4</v>
      </c>
      <c r="H117" s="5">
        <f>COUNT(BASE_ARTICLE!BC117:BV117)</f>
        <v>4</v>
      </c>
      <c r="I117" s="12">
        <f>SUM(BASE_ARTICLE!BC117:BV117)</f>
        <v>59.92</v>
      </c>
      <c r="J117" s="12">
        <f t="shared" si="1"/>
        <v>0.9986666666666667</v>
      </c>
    </row>
    <row r="118" spans="1:10" x14ac:dyDescent="0.25">
      <c r="A118" s="5" t="str">
        <f>BASE_ARTICLE!A118</f>
        <v>ART-0117</v>
      </c>
      <c r="B118" s="5" t="str">
        <f>BASE_ARTICLE!B118</f>
        <v>Bloc-notes</v>
      </c>
      <c r="C118" s="5" t="s">
        <v>731</v>
      </c>
      <c r="D118" s="5" t="s">
        <v>747</v>
      </c>
      <c r="E118" s="5" t="s">
        <v>735</v>
      </c>
      <c r="F118" s="5" t="s">
        <v>734</v>
      </c>
      <c r="G118" s="5">
        <f>COUNT(BASE_ARTICLE!E118:BB118)</f>
        <v>4</v>
      </c>
      <c r="H118" s="5">
        <f>COUNT(BASE_ARTICLE!BC118:BV118)</f>
        <v>3</v>
      </c>
      <c r="I118" s="12">
        <f>SUM(BASE_ARTICLE!BC118:BV118)</f>
        <v>19.45</v>
      </c>
      <c r="J118" s="12">
        <f t="shared" si="1"/>
        <v>0.32416666666666666</v>
      </c>
    </row>
    <row r="119" spans="1:10" x14ac:dyDescent="0.25">
      <c r="A119" s="5" t="str">
        <f>BASE_ARTICLE!A119</f>
        <v>ART-0118</v>
      </c>
      <c r="B119" s="5" t="str">
        <f>BASE_ARTICLE!B119</f>
        <v>Bloc-notes</v>
      </c>
      <c r="C119" s="5" t="s">
        <v>731</v>
      </c>
      <c r="D119" s="5" t="s">
        <v>747</v>
      </c>
      <c r="E119" s="5" t="s">
        <v>736</v>
      </c>
      <c r="F119" s="5" t="s">
        <v>734</v>
      </c>
      <c r="G119" s="5">
        <f>COUNT(BASE_ARTICLE!E119:BB119)</f>
        <v>4</v>
      </c>
      <c r="H119" s="5">
        <f>COUNT(BASE_ARTICLE!BC119:BV119)</f>
        <v>3</v>
      </c>
      <c r="I119" s="12">
        <f>SUM(BASE_ARTICLE!BC119:BV119)</f>
        <v>27.32</v>
      </c>
      <c r="J119" s="12">
        <f t="shared" si="1"/>
        <v>0.45533333333333331</v>
      </c>
    </row>
    <row r="120" spans="1:10" x14ac:dyDescent="0.25">
      <c r="A120" s="5" t="str">
        <f>BASE_ARTICLE!A120</f>
        <v>ART-0119</v>
      </c>
      <c r="B120" s="5" t="str">
        <f>BASE_ARTICLE!B120</f>
        <v>Bloc-notes</v>
      </c>
      <c r="C120" s="5" t="s">
        <v>731</v>
      </c>
      <c r="D120" s="5" t="s">
        <v>747</v>
      </c>
      <c r="E120" s="5" t="s">
        <v>737</v>
      </c>
      <c r="F120" s="5" t="s">
        <v>734</v>
      </c>
      <c r="G120" s="5">
        <f>COUNT(BASE_ARTICLE!E120:BB120)</f>
        <v>4</v>
      </c>
      <c r="H120" s="5">
        <f>COUNT(BASE_ARTICLE!BC120:BV120)</f>
        <v>3</v>
      </c>
      <c r="I120" s="12">
        <f>SUM(BASE_ARTICLE!BC120:BV120)</f>
        <v>43.07</v>
      </c>
      <c r="J120" s="12">
        <f t="shared" si="1"/>
        <v>0.71783333333333332</v>
      </c>
    </row>
    <row r="121" spans="1:10" x14ac:dyDescent="0.25">
      <c r="A121" s="5" t="str">
        <f>BASE_ARTICLE!A121</f>
        <v>ART-0120</v>
      </c>
      <c r="B121" s="5" t="str">
        <f>BASE_ARTICLE!B121</f>
        <v>Bloc-notes</v>
      </c>
      <c r="C121" s="5" t="s">
        <v>731</v>
      </c>
      <c r="D121" s="5" t="s">
        <v>747</v>
      </c>
      <c r="E121" s="5" t="s">
        <v>736</v>
      </c>
      <c r="F121" s="5" t="s">
        <v>734</v>
      </c>
      <c r="G121" s="5">
        <f>COUNT(BASE_ARTICLE!E121:BB121)</f>
        <v>4</v>
      </c>
      <c r="H121" s="5">
        <f>COUNT(BASE_ARTICLE!BC121:BV121)</f>
        <v>3</v>
      </c>
      <c r="I121" s="12">
        <f>SUM(BASE_ARTICLE!BC121:BV121)</f>
        <v>44.65</v>
      </c>
      <c r="J121" s="12">
        <f t="shared" si="1"/>
        <v>0.74416666666666664</v>
      </c>
    </row>
    <row r="122" spans="1:10" x14ac:dyDescent="0.25">
      <c r="A122" s="5" t="str">
        <f>BASE_ARTICLE!A122</f>
        <v>ART-0121</v>
      </c>
      <c r="B122" s="5" t="str">
        <f>BASE_ARTICLE!B122</f>
        <v>Carnet</v>
      </c>
      <c r="C122" s="5" t="s">
        <v>731</v>
      </c>
      <c r="D122" s="5" t="s">
        <v>747</v>
      </c>
      <c r="E122" s="5" t="s">
        <v>736</v>
      </c>
      <c r="F122" s="5" t="s">
        <v>734</v>
      </c>
      <c r="G122" s="5">
        <f>COUNT(BASE_ARTICLE!E122:BB122)</f>
        <v>5</v>
      </c>
      <c r="H122" s="5">
        <f>COUNT(BASE_ARTICLE!BC122:BV122)</f>
        <v>4</v>
      </c>
      <c r="I122" s="12">
        <f>SUM(BASE_ARTICLE!BC122:BV122)</f>
        <v>77.42</v>
      </c>
      <c r="J122" s="12">
        <f t="shared" si="1"/>
        <v>1.2903333333333333</v>
      </c>
    </row>
    <row r="123" spans="1:10" x14ac:dyDescent="0.25">
      <c r="A123" s="5" t="str">
        <f>BASE_ARTICLE!A123</f>
        <v>ART-0122</v>
      </c>
      <c r="B123" s="5" t="str">
        <f>BASE_ARTICLE!B123</f>
        <v>Agenda</v>
      </c>
      <c r="C123" s="5" t="s">
        <v>731</v>
      </c>
      <c r="D123" s="5" t="s">
        <v>747</v>
      </c>
      <c r="E123" s="5" t="s">
        <v>736</v>
      </c>
      <c r="F123" s="5" t="s">
        <v>734</v>
      </c>
      <c r="G123" s="5">
        <f>COUNT(BASE_ARTICLE!E123:BB123)</f>
        <v>5</v>
      </c>
      <c r="H123" s="5">
        <f>COUNT(BASE_ARTICLE!BC123:BV123)</f>
        <v>4</v>
      </c>
      <c r="I123" s="12">
        <f>SUM(BASE_ARTICLE!BC123:BV123)</f>
        <v>77.440000000000012</v>
      </c>
      <c r="J123" s="12">
        <f t="shared" si="1"/>
        <v>1.2906666666666669</v>
      </c>
    </row>
    <row r="124" spans="1:10" x14ac:dyDescent="0.25">
      <c r="A124" s="5" t="str">
        <f>BASE_ARTICLE!A124</f>
        <v>ART-0123</v>
      </c>
      <c r="B124" s="5" t="str">
        <f>BASE_ARTICLE!B124</f>
        <v>Agenda</v>
      </c>
      <c r="C124" s="5" t="s">
        <v>731</v>
      </c>
      <c r="D124" s="5" t="s">
        <v>748</v>
      </c>
      <c r="E124" s="5" t="s">
        <v>736</v>
      </c>
      <c r="F124" s="5" t="s">
        <v>734</v>
      </c>
      <c r="G124" s="5">
        <f>COUNT(BASE_ARTICLE!E124:BB124)</f>
        <v>7</v>
      </c>
      <c r="H124" s="5">
        <f>COUNT(BASE_ARTICLE!BC124:BV124)</f>
        <v>6</v>
      </c>
      <c r="I124" s="12">
        <f>SUM(BASE_ARTICLE!BC124:BV124)</f>
        <v>103.19999999999999</v>
      </c>
      <c r="J124" s="12">
        <f t="shared" si="1"/>
        <v>1.7199999999999998</v>
      </c>
    </row>
    <row r="125" spans="1:10" x14ac:dyDescent="0.25">
      <c r="A125" s="5" t="str">
        <f>BASE_ARTICLE!A125</f>
        <v>ART-0124</v>
      </c>
      <c r="B125" s="5" t="str">
        <f>BASE_ARTICLE!B125</f>
        <v>Flyer</v>
      </c>
      <c r="C125" s="5" t="s">
        <v>749</v>
      </c>
      <c r="D125" s="5" t="s">
        <v>706</v>
      </c>
      <c r="E125" s="5" t="s">
        <v>735</v>
      </c>
      <c r="F125" s="5" t="s">
        <v>750</v>
      </c>
      <c r="G125" s="5">
        <f>COUNT(BASE_ARTICLE!E125:BB125)</f>
        <v>4</v>
      </c>
      <c r="H125" s="5">
        <f>COUNT(BASE_ARTICLE!BC125:BV125)</f>
        <v>2</v>
      </c>
      <c r="I125" s="12">
        <f>SUM(BASE_ARTICLE!BC125:BV125)</f>
        <v>2043</v>
      </c>
      <c r="J125" s="12">
        <f t="shared" si="1"/>
        <v>34.049999999999997</v>
      </c>
    </row>
    <row r="126" spans="1:10" x14ac:dyDescent="0.25">
      <c r="A126" s="5" t="str">
        <f>BASE_ARTICLE!A126</f>
        <v>ART-0125</v>
      </c>
      <c r="B126" s="5" t="str">
        <f>BASE_ARTICLE!B126</f>
        <v>Flyer</v>
      </c>
      <c r="C126" s="5" t="s">
        <v>749</v>
      </c>
      <c r="D126" s="5" t="s">
        <v>706</v>
      </c>
      <c r="E126" s="5" t="s">
        <v>735</v>
      </c>
      <c r="F126" s="5" t="s">
        <v>750</v>
      </c>
      <c r="G126" s="5">
        <f>COUNT(BASE_ARTICLE!E126:BB126)</f>
        <v>4</v>
      </c>
      <c r="H126" s="5">
        <f>COUNT(BASE_ARTICLE!BC126:BV126)</f>
        <v>2</v>
      </c>
      <c r="I126" s="12">
        <f>SUM(BASE_ARTICLE!BC126:BV126)</f>
        <v>2043</v>
      </c>
      <c r="J126" s="12">
        <f t="shared" si="1"/>
        <v>34.049999999999997</v>
      </c>
    </row>
    <row r="127" spans="1:10" x14ac:dyDescent="0.25">
      <c r="A127" s="5" t="str">
        <f>BASE_ARTICLE!A127</f>
        <v>ART-0126</v>
      </c>
      <c r="B127" s="5" t="str">
        <f>BASE_ARTICLE!B127</f>
        <v>Flyer</v>
      </c>
      <c r="C127" s="5" t="s">
        <v>749</v>
      </c>
      <c r="D127" s="5" t="s">
        <v>706</v>
      </c>
      <c r="E127" s="5" t="s">
        <v>735</v>
      </c>
      <c r="F127" s="5" t="s">
        <v>750</v>
      </c>
      <c r="G127" s="5">
        <f>COUNT(BASE_ARTICLE!E127:BB127)</f>
        <v>4</v>
      </c>
      <c r="H127" s="5">
        <f>COUNT(BASE_ARTICLE!BC127:BV127)</f>
        <v>2</v>
      </c>
      <c r="I127" s="12">
        <f>SUM(BASE_ARTICLE!BC127:BV127)</f>
        <v>2043</v>
      </c>
      <c r="J127" s="12">
        <f t="shared" si="1"/>
        <v>34.049999999999997</v>
      </c>
    </row>
    <row r="128" spans="1:10" x14ac:dyDescent="0.25">
      <c r="A128" s="5" t="str">
        <f>BASE_ARTICLE!A128</f>
        <v>ART-0127</v>
      </c>
      <c r="B128" s="5" t="str">
        <f>BASE_ARTICLE!B128</f>
        <v>Flyer</v>
      </c>
      <c r="C128" s="5" t="s">
        <v>749</v>
      </c>
      <c r="D128" s="5" t="s">
        <v>706</v>
      </c>
      <c r="E128" s="5" t="s">
        <v>736</v>
      </c>
      <c r="F128" s="5" t="s">
        <v>750</v>
      </c>
      <c r="G128" s="5">
        <f>COUNT(BASE_ARTICLE!E128:BB128)</f>
        <v>4</v>
      </c>
      <c r="H128" s="5">
        <f>COUNT(BASE_ARTICLE!BC128:BV128)</f>
        <v>2</v>
      </c>
      <c r="I128" s="12">
        <f>SUM(BASE_ARTICLE!BC128:BV128)</f>
        <v>2106</v>
      </c>
      <c r="J128" s="12">
        <f t="shared" si="1"/>
        <v>35.1</v>
      </c>
    </row>
    <row r="129" spans="1:10" x14ac:dyDescent="0.25">
      <c r="A129" s="5" t="str">
        <f>BASE_ARTICLE!A129</f>
        <v>ART-0128</v>
      </c>
      <c r="B129" s="5" t="str">
        <f>BASE_ARTICLE!B129</f>
        <v>Flyer</v>
      </c>
      <c r="C129" s="5" t="s">
        <v>749</v>
      </c>
      <c r="D129" s="5" t="s">
        <v>706</v>
      </c>
      <c r="E129" s="5" t="s">
        <v>736</v>
      </c>
      <c r="F129" s="5" t="s">
        <v>750</v>
      </c>
      <c r="G129" s="5">
        <f>COUNT(BASE_ARTICLE!E129:BB129)</f>
        <v>4</v>
      </c>
      <c r="H129" s="5">
        <f>COUNT(BASE_ARTICLE!BC129:BV129)</f>
        <v>2</v>
      </c>
      <c r="I129" s="12">
        <f>SUM(BASE_ARTICLE!BC129:BV129)</f>
        <v>2106</v>
      </c>
      <c r="J129" s="12">
        <f t="shared" si="1"/>
        <v>35.1</v>
      </c>
    </row>
    <row r="130" spans="1:10" x14ac:dyDescent="0.25">
      <c r="A130" s="5" t="str">
        <f>BASE_ARTICLE!A130</f>
        <v>ART-0129</v>
      </c>
      <c r="B130" s="5" t="str">
        <f>BASE_ARTICLE!B130</f>
        <v>Flyer</v>
      </c>
      <c r="C130" s="5" t="s">
        <v>749</v>
      </c>
      <c r="D130" s="5" t="s">
        <v>706</v>
      </c>
      <c r="E130" s="5" t="s">
        <v>736</v>
      </c>
      <c r="F130" s="5" t="s">
        <v>750</v>
      </c>
      <c r="G130" s="5">
        <f>COUNT(BASE_ARTICLE!E130:BB130)</f>
        <v>4</v>
      </c>
      <c r="H130" s="5">
        <f>COUNT(BASE_ARTICLE!BC130:BV130)</f>
        <v>2</v>
      </c>
      <c r="I130" s="12">
        <f>SUM(BASE_ARTICLE!BC130:BV130)</f>
        <v>2106</v>
      </c>
      <c r="J130" s="12">
        <f t="shared" ref="J130:J193" si="2">I130/60</f>
        <v>35.1</v>
      </c>
    </row>
    <row r="131" spans="1:10" x14ac:dyDescent="0.25">
      <c r="A131" s="5" t="str">
        <f>BASE_ARTICLE!A131</f>
        <v>ART-0130</v>
      </c>
      <c r="B131" s="5" t="str">
        <f>BASE_ARTICLE!B131</f>
        <v>Flyer</v>
      </c>
      <c r="C131" s="5" t="s">
        <v>749</v>
      </c>
      <c r="D131" s="5" t="s">
        <v>706</v>
      </c>
      <c r="E131" s="5" t="s">
        <v>737</v>
      </c>
      <c r="F131" s="5" t="s">
        <v>750</v>
      </c>
      <c r="G131" s="5">
        <f>COUNT(BASE_ARTICLE!E131:BB131)</f>
        <v>4</v>
      </c>
      <c r="H131" s="5">
        <f>COUNT(BASE_ARTICLE!BC131:BV131)</f>
        <v>2</v>
      </c>
      <c r="I131" s="12">
        <f>SUM(BASE_ARTICLE!BC131:BV131)</f>
        <v>2232</v>
      </c>
      <c r="J131" s="12">
        <f t="shared" si="2"/>
        <v>37.200000000000003</v>
      </c>
    </row>
    <row r="132" spans="1:10" x14ac:dyDescent="0.25">
      <c r="A132" s="5" t="str">
        <f>BASE_ARTICLE!A132</f>
        <v>ART-0131</v>
      </c>
      <c r="B132" s="5" t="str">
        <f>BASE_ARTICLE!B132</f>
        <v>Flyer</v>
      </c>
      <c r="C132" s="5" t="s">
        <v>749</v>
      </c>
      <c r="D132" s="5" t="s">
        <v>706</v>
      </c>
      <c r="E132" s="5" t="s">
        <v>737</v>
      </c>
      <c r="F132" s="5" t="s">
        <v>750</v>
      </c>
      <c r="G132" s="5">
        <f>COUNT(BASE_ARTICLE!E132:BB132)</f>
        <v>4</v>
      </c>
      <c r="H132" s="5">
        <f>COUNT(BASE_ARTICLE!BC132:BV132)</f>
        <v>2</v>
      </c>
      <c r="I132" s="12">
        <f>SUM(BASE_ARTICLE!BC132:BV132)</f>
        <v>2232</v>
      </c>
      <c r="J132" s="12">
        <f t="shared" si="2"/>
        <v>37.200000000000003</v>
      </c>
    </row>
    <row r="133" spans="1:10" x14ac:dyDescent="0.25">
      <c r="A133" s="5" t="str">
        <f>BASE_ARTICLE!A133</f>
        <v>ART-0132</v>
      </c>
      <c r="B133" s="5" t="str">
        <f>BASE_ARTICLE!B133</f>
        <v>Flyer</v>
      </c>
      <c r="C133" s="5" t="s">
        <v>749</v>
      </c>
      <c r="D133" s="5" t="s">
        <v>706</v>
      </c>
      <c r="E133" s="5" t="s">
        <v>737</v>
      </c>
      <c r="F133" s="5" t="s">
        <v>750</v>
      </c>
      <c r="G133" s="5">
        <f>COUNT(BASE_ARTICLE!E133:BB133)</f>
        <v>4</v>
      </c>
      <c r="H133" s="5">
        <f>COUNT(BASE_ARTICLE!BC133:BV133)</f>
        <v>2</v>
      </c>
      <c r="I133" s="12">
        <f>SUM(BASE_ARTICLE!BC133:BV133)</f>
        <v>2232</v>
      </c>
      <c r="J133" s="12">
        <f t="shared" si="2"/>
        <v>37.200000000000003</v>
      </c>
    </row>
    <row r="134" spans="1:10" x14ac:dyDescent="0.25">
      <c r="A134" s="5" t="str">
        <f>BASE_ARTICLE!A134</f>
        <v>ART-0133</v>
      </c>
      <c r="B134" s="5" t="str">
        <f>BASE_ARTICLE!B134</f>
        <v>Flyer</v>
      </c>
      <c r="C134" s="5" t="s">
        <v>749</v>
      </c>
      <c r="D134" s="5" t="s">
        <v>706</v>
      </c>
      <c r="E134" s="5" t="s">
        <v>738</v>
      </c>
      <c r="F134" s="5" t="s">
        <v>750</v>
      </c>
      <c r="G134" s="5">
        <f>COUNT(BASE_ARTICLE!E134:BB134)</f>
        <v>4</v>
      </c>
      <c r="H134" s="5">
        <f>COUNT(BASE_ARTICLE!BC134:BV134)</f>
        <v>2</v>
      </c>
      <c r="I134" s="12">
        <f>SUM(BASE_ARTICLE!BC134:BV134)</f>
        <v>2088</v>
      </c>
      <c r="J134" s="12">
        <f t="shared" si="2"/>
        <v>34.799999999999997</v>
      </c>
    </row>
    <row r="135" spans="1:10" x14ac:dyDescent="0.25">
      <c r="A135" s="5" t="str">
        <f>BASE_ARTICLE!A135</f>
        <v>ART-0134</v>
      </c>
      <c r="B135" s="5" t="str">
        <f>BASE_ARTICLE!B135</f>
        <v>Flyer</v>
      </c>
      <c r="C135" s="5" t="s">
        <v>749</v>
      </c>
      <c r="D135" s="5" t="s">
        <v>706</v>
      </c>
      <c r="E135" s="5" t="s">
        <v>738</v>
      </c>
      <c r="F135" s="5" t="s">
        <v>750</v>
      </c>
      <c r="G135" s="5">
        <f>COUNT(BASE_ARTICLE!E135:BB135)</f>
        <v>4</v>
      </c>
      <c r="H135" s="5">
        <f>COUNT(BASE_ARTICLE!BC135:BV135)</f>
        <v>2</v>
      </c>
      <c r="I135" s="12">
        <f>SUM(BASE_ARTICLE!BC135:BV135)</f>
        <v>2088</v>
      </c>
      <c r="J135" s="12">
        <f t="shared" si="2"/>
        <v>34.799999999999997</v>
      </c>
    </row>
    <row r="136" spans="1:10" x14ac:dyDescent="0.25">
      <c r="A136" s="5" t="str">
        <f>BASE_ARTICLE!A136</f>
        <v>ART-0135</v>
      </c>
      <c r="B136" s="5" t="str">
        <f>BASE_ARTICLE!B136</f>
        <v>Flyer</v>
      </c>
      <c r="C136" s="5" t="s">
        <v>749</v>
      </c>
      <c r="D136" s="5" t="s">
        <v>706</v>
      </c>
      <c r="E136" s="5" t="s">
        <v>738</v>
      </c>
      <c r="F136" s="5" t="s">
        <v>750</v>
      </c>
      <c r="G136" s="5">
        <f>COUNT(BASE_ARTICLE!E136:BB136)</f>
        <v>4</v>
      </c>
      <c r="H136" s="5">
        <f>COUNT(BASE_ARTICLE!BC136:BV136)</f>
        <v>2</v>
      </c>
      <c r="I136" s="12">
        <f>SUM(BASE_ARTICLE!BC136:BV136)</f>
        <v>2088</v>
      </c>
      <c r="J136" s="12">
        <f t="shared" si="2"/>
        <v>34.799999999999997</v>
      </c>
    </row>
    <row r="137" spans="1:10" x14ac:dyDescent="0.25">
      <c r="A137" s="5" t="str">
        <f>BASE_ARTICLE!A137</f>
        <v>ART-0136</v>
      </c>
      <c r="B137" s="5" t="str">
        <f>BASE_ARTICLE!B137</f>
        <v>Dépliant</v>
      </c>
      <c r="C137" s="5" t="s">
        <v>749</v>
      </c>
      <c r="D137" s="5" t="s">
        <v>706</v>
      </c>
      <c r="E137" s="5" t="s">
        <v>739</v>
      </c>
      <c r="F137" s="5" t="s">
        <v>750</v>
      </c>
      <c r="G137" s="5">
        <f>COUNT(BASE_ARTICLE!E137:BB137)</f>
        <v>4</v>
      </c>
      <c r="H137" s="5">
        <f>COUNT(BASE_ARTICLE!BC137:BV137)</f>
        <v>3</v>
      </c>
      <c r="I137" s="12">
        <f>SUM(BASE_ARTICLE!BC137:BV137)</f>
        <v>2782</v>
      </c>
      <c r="J137" s="12">
        <f t="shared" si="2"/>
        <v>46.366666666666667</v>
      </c>
    </row>
    <row r="138" spans="1:10" x14ac:dyDescent="0.25">
      <c r="A138" s="5" t="str">
        <f>BASE_ARTICLE!A138</f>
        <v>ART-0137</v>
      </c>
      <c r="B138" s="5" t="str">
        <f>BASE_ARTICLE!B138</f>
        <v>Dépliant</v>
      </c>
      <c r="C138" s="5" t="s">
        <v>749</v>
      </c>
      <c r="D138" s="5" t="s">
        <v>706</v>
      </c>
      <c r="E138" s="5" t="s">
        <v>739</v>
      </c>
      <c r="F138" s="5" t="s">
        <v>750</v>
      </c>
      <c r="G138" s="5">
        <f>COUNT(BASE_ARTICLE!E138:BB138)</f>
        <v>4</v>
      </c>
      <c r="H138" s="5">
        <f>COUNT(BASE_ARTICLE!BC138:BV138)</f>
        <v>3</v>
      </c>
      <c r="I138" s="12">
        <f>SUM(BASE_ARTICLE!BC138:BV138)</f>
        <v>2782</v>
      </c>
      <c r="J138" s="12">
        <f t="shared" si="2"/>
        <v>46.366666666666667</v>
      </c>
    </row>
    <row r="139" spans="1:10" x14ac:dyDescent="0.25">
      <c r="A139" s="5" t="str">
        <f>BASE_ARTICLE!A139</f>
        <v>ART-0138</v>
      </c>
      <c r="B139" s="5" t="str">
        <f>BASE_ARTICLE!B139</f>
        <v>Dépliant</v>
      </c>
      <c r="C139" s="5" t="s">
        <v>749</v>
      </c>
      <c r="D139" s="5" t="s">
        <v>706</v>
      </c>
      <c r="E139" s="5" t="s">
        <v>740</v>
      </c>
      <c r="F139" s="5" t="s">
        <v>750</v>
      </c>
      <c r="G139" s="5">
        <f>COUNT(BASE_ARTICLE!E139:BB139)</f>
        <v>4</v>
      </c>
      <c r="H139" s="5">
        <f>COUNT(BASE_ARTICLE!BC139:BV139)</f>
        <v>3</v>
      </c>
      <c r="I139" s="12">
        <f>SUM(BASE_ARTICLE!BC139:BV139)</f>
        <v>3034</v>
      </c>
      <c r="J139" s="12">
        <f t="shared" si="2"/>
        <v>50.56666666666667</v>
      </c>
    </row>
    <row r="140" spans="1:10" x14ac:dyDescent="0.25">
      <c r="A140" s="5" t="str">
        <f>BASE_ARTICLE!A140</f>
        <v>ART-0139</v>
      </c>
      <c r="B140" s="5" t="str">
        <f>BASE_ARTICLE!B140</f>
        <v>Dépliant</v>
      </c>
      <c r="C140" s="5" t="s">
        <v>749</v>
      </c>
      <c r="D140" s="5" t="s">
        <v>706</v>
      </c>
      <c r="E140" s="5" t="s">
        <v>740</v>
      </c>
      <c r="F140" s="5" t="s">
        <v>750</v>
      </c>
      <c r="G140" s="5">
        <f>COUNT(BASE_ARTICLE!E140:BB140)</f>
        <v>4</v>
      </c>
      <c r="H140" s="5">
        <f>COUNT(BASE_ARTICLE!BC140:BV140)</f>
        <v>3</v>
      </c>
      <c r="I140" s="12">
        <f>SUM(BASE_ARTICLE!BC140:BV140)</f>
        <v>3034</v>
      </c>
      <c r="J140" s="12">
        <f t="shared" si="2"/>
        <v>50.56666666666667</v>
      </c>
    </row>
    <row r="141" spans="1:10" x14ac:dyDescent="0.25">
      <c r="A141" s="5" t="str">
        <f>BASE_ARTICLE!A141</f>
        <v>ART-0140</v>
      </c>
      <c r="B141" s="5" t="str">
        <f>BASE_ARTICLE!B141</f>
        <v>Affiche</v>
      </c>
      <c r="C141" s="5" t="s">
        <v>749</v>
      </c>
      <c r="D141" s="5" t="s">
        <v>706</v>
      </c>
      <c r="E141" s="5" t="s">
        <v>741</v>
      </c>
      <c r="F141" s="5" t="s">
        <v>750</v>
      </c>
      <c r="G141" s="5">
        <f>COUNT(BASE_ARTICLE!E141:BB141)</f>
        <v>4</v>
      </c>
      <c r="H141" s="5">
        <f>COUNT(BASE_ARTICLE!BC141:BV141)</f>
        <v>2</v>
      </c>
      <c r="I141" s="12">
        <f>SUM(BASE_ARTICLE!BC141:BV141)</f>
        <v>1422</v>
      </c>
      <c r="J141" s="12">
        <f t="shared" si="2"/>
        <v>23.7</v>
      </c>
    </row>
    <row r="142" spans="1:10" x14ac:dyDescent="0.25">
      <c r="A142" s="5" t="str">
        <f>BASE_ARTICLE!A142</f>
        <v>ART-0141</v>
      </c>
      <c r="B142" s="5" t="str">
        <f>BASE_ARTICLE!B142</f>
        <v>Affiche</v>
      </c>
      <c r="C142" s="5" t="s">
        <v>749</v>
      </c>
      <c r="D142" s="5" t="s">
        <v>706</v>
      </c>
      <c r="E142" s="5" t="s">
        <v>741</v>
      </c>
      <c r="F142" s="5" t="s">
        <v>750</v>
      </c>
      <c r="G142" s="5">
        <f>COUNT(BASE_ARTICLE!E142:BB142)</f>
        <v>4</v>
      </c>
      <c r="H142" s="5">
        <f>COUNT(BASE_ARTICLE!BC142:BV142)</f>
        <v>2</v>
      </c>
      <c r="I142" s="12">
        <f>SUM(BASE_ARTICLE!BC142:BV142)</f>
        <v>1422</v>
      </c>
      <c r="J142" s="12">
        <f t="shared" si="2"/>
        <v>23.7</v>
      </c>
    </row>
    <row r="143" spans="1:10" x14ac:dyDescent="0.25">
      <c r="A143" s="5" t="str">
        <f>BASE_ARTICLE!A143</f>
        <v>ART-0142</v>
      </c>
      <c r="B143" s="5" t="str">
        <f>BASE_ARTICLE!B143</f>
        <v>Affiche</v>
      </c>
      <c r="C143" s="5" t="s">
        <v>749</v>
      </c>
      <c r="D143" s="5" t="s">
        <v>706</v>
      </c>
      <c r="E143" s="5" t="s">
        <v>751</v>
      </c>
      <c r="F143" s="5" t="s">
        <v>750</v>
      </c>
      <c r="G143" s="5">
        <f>COUNT(BASE_ARTICLE!E143:BB143)</f>
        <v>4</v>
      </c>
      <c r="H143" s="5">
        <f>COUNT(BASE_ARTICLE!BC143:BV143)</f>
        <v>2</v>
      </c>
      <c r="I143" s="12">
        <f>SUM(BASE_ARTICLE!BC143:BV143)</f>
        <v>2106</v>
      </c>
      <c r="J143" s="12">
        <f t="shared" si="2"/>
        <v>35.1</v>
      </c>
    </row>
    <row r="144" spans="1:10" x14ac:dyDescent="0.25">
      <c r="A144" s="5" t="str">
        <f>BASE_ARTICLE!A144</f>
        <v>ART-0143</v>
      </c>
      <c r="B144" s="5" t="str">
        <f>BASE_ARTICLE!B144</f>
        <v>Affiche</v>
      </c>
      <c r="C144" s="5" t="s">
        <v>749</v>
      </c>
      <c r="D144" s="5" t="s">
        <v>706</v>
      </c>
      <c r="E144" s="5" t="s">
        <v>751</v>
      </c>
      <c r="F144" s="5" t="s">
        <v>750</v>
      </c>
      <c r="G144" s="5">
        <f>COUNT(BASE_ARTICLE!E144:BB144)</f>
        <v>4</v>
      </c>
      <c r="H144" s="5">
        <f>COUNT(BASE_ARTICLE!BC144:BV144)</f>
        <v>2</v>
      </c>
      <c r="I144" s="12">
        <f>SUM(BASE_ARTICLE!BC144:BV144)</f>
        <v>2106</v>
      </c>
      <c r="J144" s="12">
        <f t="shared" si="2"/>
        <v>35.1</v>
      </c>
    </row>
    <row r="145" spans="1:10" x14ac:dyDescent="0.25">
      <c r="A145" s="5" t="str">
        <f>BASE_ARTICLE!A145</f>
        <v>ART-0144</v>
      </c>
      <c r="B145" s="5" t="str">
        <f>BASE_ARTICLE!B145</f>
        <v>Papier en-tête</v>
      </c>
      <c r="C145" s="5" t="s">
        <v>749</v>
      </c>
      <c r="D145" s="5" t="s">
        <v>706</v>
      </c>
      <c r="E145" s="5" t="s">
        <v>737</v>
      </c>
      <c r="F145" s="5" t="s">
        <v>750</v>
      </c>
      <c r="G145" s="5">
        <f>COUNT(BASE_ARTICLE!E145:BB145)</f>
        <v>4</v>
      </c>
      <c r="H145" s="5">
        <f>COUNT(BASE_ARTICLE!BC145:BV145)</f>
        <v>2</v>
      </c>
      <c r="I145" s="12">
        <f>SUM(BASE_ARTICLE!BC145:BV145)</f>
        <v>1251</v>
      </c>
      <c r="J145" s="12">
        <f t="shared" si="2"/>
        <v>20.85</v>
      </c>
    </row>
    <row r="146" spans="1:10" x14ac:dyDescent="0.25">
      <c r="A146" s="5" t="str">
        <f>BASE_ARTICLE!A146</f>
        <v>ART-0145</v>
      </c>
      <c r="B146" s="5" t="str">
        <f>BASE_ARTICLE!B146</f>
        <v>Papier en-tête</v>
      </c>
      <c r="C146" s="5" t="s">
        <v>749</v>
      </c>
      <c r="D146" s="5" t="s">
        <v>706</v>
      </c>
      <c r="E146" s="5" t="s">
        <v>737</v>
      </c>
      <c r="F146" s="5" t="s">
        <v>750</v>
      </c>
      <c r="G146" s="5">
        <f>COUNT(BASE_ARTICLE!E146:BB146)</f>
        <v>4</v>
      </c>
      <c r="H146" s="5">
        <f>COUNT(BASE_ARTICLE!BC146:BV146)</f>
        <v>2</v>
      </c>
      <c r="I146" s="12">
        <f>SUM(BASE_ARTICLE!BC146:BV146)</f>
        <v>1251</v>
      </c>
      <c r="J146" s="12">
        <f t="shared" si="2"/>
        <v>20.85</v>
      </c>
    </row>
    <row r="147" spans="1:10" x14ac:dyDescent="0.25">
      <c r="A147" s="5" t="str">
        <f>BASE_ARTICLE!A147</f>
        <v>ART-0146</v>
      </c>
      <c r="B147" s="5" t="str">
        <f>BASE_ARTICLE!B147</f>
        <v>Calendrier</v>
      </c>
      <c r="C147" s="5" t="s">
        <v>749</v>
      </c>
      <c r="D147" s="5" t="s">
        <v>706</v>
      </c>
      <c r="E147" s="5" t="s">
        <v>751</v>
      </c>
      <c r="F147" s="5" t="s">
        <v>750</v>
      </c>
      <c r="G147" s="5">
        <f>COUNT(BASE_ARTICLE!E147:BB147)</f>
        <v>4</v>
      </c>
      <c r="H147" s="5">
        <f>COUNT(BASE_ARTICLE!BC147:BV147)</f>
        <v>2</v>
      </c>
      <c r="I147" s="12">
        <f>SUM(BASE_ARTICLE!BC147:BV147)</f>
        <v>2106</v>
      </c>
      <c r="J147" s="12">
        <f t="shared" si="2"/>
        <v>35.1</v>
      </c>
    </row>
    <row r="148" spans="1:10" x14ac:dyDescent="0.25">
      <c r="A148" s="5" t="str">
        <f>BASE_ARTICLE!A148</f>
        <v>ART-0147</v>
      </c>
      <c r="B148" s="5" t="str">
        <f>BASE_ARTICLE!B148</f>
        <v>Catalogue</v>
      </c>
      <c r="C148" s="5" t="s">
        <v>749</v>
      </c>
      <c r="D148" s="5" t="s">
        <v>752</v>
      </c>
      <c r="E148" s="5" t="s">
        <v>737</v>
      </c>
      <c r="F148" s="5" t="s">
        <v>750</v>
      </c>
      <c r="G148" s="5">
        <f>COUNT(BASE_ARTICLE!E148:BB148)</f>
        <v>6</v>
      </c>
      <c r="H148" s="5">
        <f>COUNT(BASE_ARTICLE!BC148:BV148)</f>
        <v>3</v>
      </c>
      <c r="I148" s="12">
        <f>SUM(BASE_ARTICLE!BC148:BV148)</f>
        <v>10729</v>
      </c>
      <c r="J148" s="12">
        <f t="shared" si="2"/>
        <v>178.81666666666666</v>
      </c>
    </row>
    <row r="149" spans="1:10" x14ac:dyDescent="0.25">
      <c r="A149" s="5" t="str">
        <f>BASE_ARTICLE!A149</f>
        <v>ART-0148</v>
      </c>
      <c r="B149" s="5" t="str">
        <f>BASE_ARTICLE!B149</f>
        <v>Catalogue</v>
      </c>
      <c r="C149" s="5" t="s">
        <v>749</v>
      </c>
      <c r="D149" s="5" t="s">
        <v>752</v>
      </c>
      <c r="E149" s="5" t="s">
        <v>737</v>
      </c>
      <c r="F149" s="5" t="s">
        <v>750</v>
      </c>
      <c r="G149" s="5">
        <f>COUNT(BASE_ARTICLE!E149:BB149)</f>
        <v>6</v>
      </c>
      <c r="H149" s="5">
        <f>COUNT(BASE_ARTICLE!BC149:BV149)</f>
        <v>3</v>
      </c>
      <c r="I149" s="12">
        <f>SUM(BASE_ARTICLE!BC149:BV149)</f>
        <v>11215</v>
      </c>
      <c r="J149" s="12">
        <f t="shared" si="2"/>
        <v>186.91666666666666</v>
      </c>
    </row>
    <row r="150" spans="1:10" x14ac:dyDescent="0.25">
      <c r="A150" s="5" t="str">
        <f>BASE_ARTICLE!A150</f>
        <v>ART-0149</v>
      </c>
      <c r="B150" s="5" t="str">
        <f>BASE_ARTICLE!B150</f>
        <v>Catalogue</v>
      </c>
      <c r="C150" s="5" t="s">
        <v>749</v>
      </c>
      <c r="D150" s="5" t="s">
        <v>752</v>
      </c>
      <c r="E150" s="5" t="s">
        <v>737</v>
      </c>
      <c r="F150" s="5" t="s">
        <v>750</v>
      </c>
      <c r="G150" s="5">
        <f>COUNT(BASE_ARTICLE!E150:BB150)</f>
        <v>6</v>
      </c>
      <c r="H150" s="5">
        <f>COUNT(BASE_ARTICLE!BC150:BV150)</f>
        <v>3</v>
      </c>
      <c r="I150" s="12">
        <f>SUM(BASE_ARTICLE!BC150:BV150)</f>
        <v>13501</v>
      </c>
      <c r="J150" s="12">
        <f t="shared" si="2"/>
        <v>225.01666666666668</v>
      </c>
    </row>
    <row r="151" spans="1:10" x14ac:dyDescent="0.25">
      <c r="A151" s="5" t="str">
        <f>BASE_ARTICLE!A151</f>
        <v>ART-0150</v>
      </c>
      <c r="B151" s="5" t="str">
        <f>BASE_ARTICLE!B151</f>
        <v>Catalogue</v>
      </c>
      <c r="C151" s="5" t="s">
        <v>749</v>
      </c>
      <c r="D151" s="5" t="s">
        <v>752</v>
      </c>
      <c r="E151" s="5" t="s">
        <v>737</v>
      </c>
      <c r="F151" s="5" t="s">
        <v>750</v>
      </c>
      <c r="G151" s="5">
        <f>COUNT(BASE_ARTICLE!E151:BB151)</f>
        <v>6</v>
      </c>
      <c r="H151" s="5">
        <f>COUNT(BASE_ARTICLE!BC151:BV151)</f>
        <v>3</v>
      </c>
      <c r="I151" s="12">
        <f>SUM(BASE_ARTICLE!BC151:BV151)</f>
        <v>13987</v>
      </c>
      <c r="J151" s="12">
        <f t="shared" si="2"/>
        <v>233.11666666666667</v>
      </c>
    </row>
    <row r="152" spans="1:10" x14ac:dyDescent="0.25">
      <c r="A152" s="5" t="str">
        <f>BASE_ARTICLE!A152</f>
        <v>ART-0151</v>
      </c>
      <c r="B152" s="5" t="str">
        <f>BASE_ARTICLE!B152</f>
        <v>Catalogue</v>
      </c>
      <c r="C152" s="5" t="s">
        <v>749</v>
      </c>
      <c r="D152" s="5" t="s">
        <v>752</v>
      </c>
      <c r="E152" s="5" t="s">
        <v>737</v>
      </c>
      <c r="F152" s="5" t="s">
        <v>750</v>
      </c>
      <c r="G152" s="5">
        <f>COUNT(BASE_ARTICLE!E152:BB152)</f>
        <v>6</v>
      </c>
      <c r="H152" s="5">
        <f>COUNT(BASE_ARTICLE!BC152:BV152)</f>
        <v>3</v>
      </c>
      <c r="I152" s="12">
        <f>SUM(BASE_ARTICLE!BC152:BV152)</f>
        <v>16759</v>
      </c>
      <c r="J152" s="12">
        <f t="shared" si="2"/>
        <v>279.31666666666666</v>
      </c>
    </row>
    <row r="153" spans="1:10" x14ac:dyDescent="0.25">
      <c r="A153" s="5" t="str">
        <f>BASE_ARTICLE!A153</f>
        <v>ART-0152</v>
      </c>
      <c r="B153" s="5" t="str">
        <f>BASE_ARTICLE!B153</f>
        <v>Papier en-tête</v>
      </c>
      <c r="C153" s="5" t="s">
        <v>749</v>
      </c>
      <c r="D153" s="5" t="s">
        <v>708</v>
      </c>
      <c r="E153" s="5" t="s">
        <v>737</v>
      </c>
      <c r="F153" s="5" t="s">
        <v>734</v>
      </c>
      <c r="G153" s="5">
        <f>COUNT(BASE_ARTICLE!E153:BB153)</f>
        <v>2</v>
      </c>
      <c r="H153" s="5">
        <f>COUNT(BASE_ARTICLE!BC153:BV153)</f>
        <v>2</v>
      </c>
      <c r="I153" s="12">
        <f>SUM(BASE_ARTICLE!BC153:BV153)</f>
        <v>882.8</v>
      </c>
      <c r="J153" s="12">
        <f t="shared" si="2"/>
        <v>14.713333333333333</v>
      </c>
    </row>
    <row r="154" spans="1:10" x14ac:dyDescent="0.25">
      <c r="A154" s="5" t="str">
        <f>BASE_ARTICLE!A154</f>
        <v>ART-0153</v>
      </c>
      <c r="B154" s="5" t="str">
        <f>BASE_ARTICLE!B154</f>
        <v>Papier en-tête</v>
      </c>
      <c r="C154" s="5" t="s">
        <v>749</v>
      </c>
      <c r="D154" s="5" t="s">
        <v>708</v>
      </c>
      <c r="E154" s="5" t="s">
        <v>737</v>
      </c>
      <c r="F154" s="5" t="s">
        <v>734</v>
      </c>
      <c r="G154" s="5">
        <f>COUNT(BASE_ARTICLE!E154:BB154)</f>
        <v>2</v>
      </c>
      <c r="H154" s="5">
        <f>COUNT(BASE_ARTICLE!BC154:BV154)</f>
        <v>2</v>
      </c>
      <c r="I154" s="12">
        <f>SUM(BASE_ARTICLE!BC154:BV154)</f>
        <v>882.8</v>
      </c>
      <c r="J154" s="12">
        <f t="shared" si="2"/>
        <v>14.713333333333333</v>
      </c>
    </row>
    <row r="155" spans="1:10" x14ac:dyDescent="0.25">
      <c r="A155" s="5" t="str">
        <f>BASE_ARTICLE!A155</f>
        <v>ART-0154</v>
      </c>
      <c r="B155" s="5" t="str">
        <f>BASE_ARTICLE!B155</f>
        <v>Flyer</v>
      </c>
      <c r="C155" s="5" t="s">
        <v>749</v>
      </c>
      <c r="D155" s="5" t="s">
        <v>708</v>
      </c>
      <c r="E155" s="5" t="s">
        <v>735</v>
      </c>
      <c r="F155" s="5" t="s">
        <v>734</v>
      </c>
      <c r="G155" s="5">
        <f>COUNT(BASE_ARTICLE!E155:BB155)</f>
        <v>2</v>
      </c>
      <c r="H155" s="5">
        <f>COUNT(BASE_ARTICLE!BC155:BV155)</f>
        <v>2</v>
      </c>
      <c r="I155" s="12">
        <f>SUM(BASE_ARTICLE!BC155:BV155)</f>
        <v>988.4</v>
      </c>
      <c r="J155" s="12">
        <f t="shared" si="2"/>
        <v>16.473333333333333</v>
      </c>
    </row>
    <row r="156" spans="1:10" x14ac:dyDescent="0.25">
      <c r="A156" s="5" t="str">
        <f>BASE_ARTICLE!A156</f>
        <v>ART-0155</v>
      </c>
      <c r="B156" s="5" t="str">
        <f>BASE_ARTICLE!B156</f>
        <v>Flyer</v>
      </c>
      <c r="C156" s="5" t="s">
        <v>749</v>
      </c>
      <c r="D156" s="5" t="s">
        <v>708</v>
      </c>
      <c r="E156" s="5" t="s">
        <v>736</v>
      </c>
      <c r="F156" s="5" t="s">
        <v>734</v>
      </c>
      <c r="G156" s="5">
        <f>COUNT(BASE_ARTICLE!E156:BB156)</f>
        <v>2</v>
      </c>
      <c r="H156" s="5">
        <f>COUNT(BASE_ARTICLE!BC156:BV156)</f>
        <v>2</v>
      </c>
      <c r="I156" s="12">
        <f>SUM(BASE_ARTICLE!BC156:BV156)</f>
        <v>1136.8</v>
      </c>
      <c r="J156" s="12">
        <f t="shared" si="2"/>
        <v>18.946666666666665</v>
      </c>
    </row>
    <row r="157" spans="1:10" x14ac:dyDescent="0.25">
      <c r="A157" s="5" t="str">
        <f>BASE_ARTICLE!A157</f>
        <v>ART-0156</v>
      </c>
      <c r="B157" s="5" t="str">
        <f>BASE_ARTICLE!B157</f>
        <v>Flyer</v>
      </c>
      <c r="C157" s="5" t="s">
        <v>749</v>
      </c>
      <c r="D157" s="5" t="s">
        <v>708</v>
      </c>
      <c r="E157" s="5" t="s">
        <v>737</v>
      </c>
      <c r="F157" s="5" t="s">
        <v>734</v>
      </c>
      <c r="G157" s="5">
        <f>COUNT(BASE_ARTICLE!E157:BB157)</f>
        <v>2</v>
      </c>
      <c r="H157" s="5">
        <f>COUNT(BASE_ARTICLE!BC157:BV157)</f>
        <v>2</v>
      </c>
      <c r="I157" s="12">
        <f>SUM(BASE_ARTICLE!BC157:BV157)</f>
        <v>1433.6</v>
      </c>
      <c r="J157" s="12">
        <f t="shared" si="2"/>
        <v>23.893333333333331</v>
      </c>
    </row>
    <row r="158" spans="1:10" x14ac:dyDescent="0.25">
      <c r="A158" s="5" t="str">
        <f>BASE_ARTICLE!A158</f>
        <v>ART-0157</v>
      </c>
      <c r="B158" s="5" t="str">
        <f>BASE_ARTICLE!B158</f>
        <v>Flyer</v>
      </c>
      <c r="C158" s="5" t="s">
        <v>749</v>
      </c>
      <c r="D158" s="5" t="s">
        <v>708</v>
      </c>
      <c r="E158" s="5" t="s">
        <v>738</v>
      </c>
      <c r="F158" s="5" t="s">
        <v>734</v>
      </c>
      <c r="G158" s="5">
        <f>COUNT(BASE_ARTICLE!E158:BB158)</f>
        <v>2</v>
      </c>
      <c r="H158" s="5">
        <f>COUNT(BASE_ARTICLE!BC158:BV158)</f>
        <v>2</v>
      </c>
      <c r="I158" s="12">
        <f>SUM(BASE_ARTICLE!BC158:BV158)</f>
        <v>1037.8700000000001</v>
      </c>
      <c r="J158" s="12">
        <f t="shared" si="2"/>
        <v>17.297833333333337</v>
      </c>
    </row>
    <row r="159" spans="1:10" x14ac:dyDescent="0.25">
      <c r="A159" s="5" t="str">
        <f>BASE_ARTICLE!A159</f>
        <v>ART-0158</v>
      </c>
      <c r="B159" s="5" t="str">
        <f>BASE_ARTICLE!B159</f>
        <v>Carte de visite</v>
      </c>
      <c r="C159" s="5" t="s">
        <v>749</v>
      </c>
      <c r="D159" s="5" t="s">
        <v>708</v>
      </c>
      <c r="E159" s="5" t="s">
        <v>733</v>
      </c>
      <c r="F159" s="5" t="s">
        <v>734</v>
      </c>
      <c r="G159" s="5">
        <f>COUNT(BASE_ARTICLE!E159:BB159)</f>
        <v>2</v>
      </c>
      <c r="H159" s="5">
        <f>COUNT(BASE_ARTICLE!BC159:BV159)</f>
        <v>2</v>
      </c>
      <c r="I159" s="12">
        <f>SUM(BASE_ARTICLE!BC159:BV159)</f>
        <v>896.53</v>
      </c>
      <c r="J159" s="12">
        <f t="shared" si="2"/>
        <v>14.942166666666667</v>
      </c>
    </row>
    <row r="160" spans="1:10" x14ac:dyDescent="0.25">
      <c r="A160" s="5" t="str">
        <f>BASE_ARTICLE!A160</f>
        <v>ART-0159</v>
      </c>
      <c r="B160" s="5" t="str">
        <f>BASE_ARTICLE!B160</f>
        <v>Enveloppe</v>
      </c>
      <c r="C160" s="5" t="s">
        <v>749</v>
      </c>
      <c r="D160" s="5" t="s">
        <v>708</v>
      </c>
      <c r="E160" s="5" t="s">
        <v>753</v>
      </c>
      <c r="F160" s="5" t="s">
        <v>734</v>
      </c>
      <c r="G160" s="5">
        <f>COUNT(BASE_ARTICLE!E160:BB160)</f>
        <v>2</v>
      </c>
      <c r="H160" s="5">
        <f>COUNT(BASE_ARTICLE!BC160:BV160)</f>
        <v>1</v>
      </c>
      <c r="I160" s="12">
        <f>SUM(BASE_ARTICLE!BC160:BV160)</f>
        <v>730.8</v>
      </c>
      <c r="J160" s="12">
        <f t="shared" si="2"/>
        <v>12.18</v>
      </c>
    </row>
    <row r="161" spans="1:10" x14ac:dyDescent="0.25">
      <c r="A161" s="5" t="str">
        <f>BASE_ARTICLE!A161</f>
        <v>ART-0160</v>
      </c>
      <c r="B161" s="5" t="str">
        <f>BASE_ARTICLE!B161</f>
        <v>Enveloppe</v>
      </c>
      <c r="C161" s="5" t="s">
        <v>749</v>
      </c>
      <c r="D161" s="5" t="s">
        <v>708</v>
      </c>
      <c r="E161" s="5" t="s">
        <v>753</v>
      </c>
      <c r="F161" s="5" t="s">
        <v>734</v>
      </c>
      <c r="G161" s="5">
        <f>COUNT(BASE_ARTICLE!E161:BB161)</f>
        <v>2</v>
      </c>
      <c r="H161" s="5">
        <f>COUNT(BASE_ARTICLE!BC161:BV161)</f>
        <v>1</v>
      </c>
      <c r="I161" s="12">
        <f>SUM(BASE_ARTICLE!BC161:BV161)</f>
        <v>730.8</v>
      </c>
      <c r="J161" s="12">
        <f t="shared" si="2"/>
        <v>12.18</v>
      </c>
    </row>
    <row r="162" spans="1:10" x14ac:dyDescent="0.25">
      <c r="A162" s="5" t="str">
        <f>BASE_ARTICLE!A162</f>
        <v>ART-0161</v>
      </c>
      <c r="B162" s="5" t="str">
        <f>BASE_ARTICLE!B162</f>
        <v>Bâche</v>
      </c>
      <c r="C162" s="5" t="s">
        <v>754</v>
      </c>
      <c r="D162" s="5" t="s">
        <v>710</v>
      </c>
      <c r="E162" s="5" t="s">
        <v>755</v>
      </c>
      <c r="F162" s="5" t="s">
        <v>756</v>
      </c>
      <c r="G162" s="5">
        <f>COUNT(BASE_ARTICLE!E162:BB162)</f>
        <v>2</v>
      </c>
      <c r="H162" s="5">
        <f>COUNT(BASE_ARTICLE!BC162:BV162)</f>
        <v>2</v>
      </c>
      <c r="I162" s="12">
        <f>SUM(BASE_ARTICLE!BC162:BV162)</f>
        <v>260</v>
      </c>
      <c r="J162" s="12">
        <f t="shared" si="2"/>
        <v>4.333333333333333</v>
      </c>
    </row>
    <row r="163" spans="1:10" x14ac:dyDescent="0.25">
      <c r="A163" s="5" t="str">
        <f>BASE_ARTICLE!A163</f>
        <v>ART-0162</v>
      </c>
      <c r="B163" s="5" t="str">
        <f>BASE_ARTICLE!B163</f>
        <v>Bâche</v>
      </c>
      <c r="C163" s="5" t="s">
        <v>754</v>
      </c>
      <c r="D163" s="5" t="s">
        <v>710</v>
      </c>
      <c r="E163" s="5" t="s">
        <v>755</v>
      </c>
      <c r="F163" s="5" t="s">
        <v>756</v>
      </c>
      <c r="G163" s="5">
        <f>COUNT(BASE_ARTICLE!E163:BB163)</f>
        <v>3</v>
      </c>
      <c r="H163" s="5">
        <f>COUNT(BASE_ARTICLE!BC163:BV163)</f>
        <v>2</v>
      </c>
      <c r="I163" s="12">
        <f>SUM(BASE_ARTICLE!BC163:BV163)</f>
        <v>316</v>
      </c>
      <c r="J163" s="12">
        <f t="shared" si="2"/>
        <v>5.2666666666666666</v>
      </c>
    </row>
    <row r="164" spans="1:10" x14ac:dyDescent="0.25">
      <c r="A164" s="5" t="str">
        <f>BASE_ARTICLE!A164</f>
        <v>ART-0163</v>
      </c>
      <c r="B164" s="5" t="str">
        <f>BASE_ARTICLE!B164</f>
        <v>Banderole</v>
      </c>
      <c r="C164" s="5" t="s">
        <v>731</v>
      </c>
      <c r="D164" s="5" t="s">
        <v>710</v>
      </c>
      <c r="E164" s="5" t="s">
        <v>757</v>
      </c>
      <c r="F164" s="5" t="s">
        <v>756</v>
      </c>
      <c r="G164" s="5">
        <f>COUNT(BASE_ARTICLE!E164:BB164)</f>
        <v>3</v>
      </c>
      <c r="H164" s="5">
        <f>COUNT(BASE_ARTICLE!BC164:BV164)</f>
        <v>2</v>
      </c>
      <c r="I164" s="12">
        <f>SUM(BASE_ARTICLE!BC164:BV164)</f>
        <v>726</v>
      </c>
      <c r="J164" s="12">
        <f t="shared" si="2"/>
        <v>12.1</v>
      </c>
    </row>
    <row r="165" spans="1:10" x14ac:dyDescent="0.25">
      <c r="A165" s="5" t="str">
        <f>BASE_ARTICLE!A165</f>
        <v>ART-0164</v>
      </c>
      <c r="B165" s="5" t="str">
        <f>BASE_ARTICLE!B165</f>
        <v>Banderole</v>
      </c>
      <c r="C165" s="5" t="s">
        <v>731</v>
      </c>
      <c r="D165" s="5" t="s">
        <v>710</v>
      </c>
      <c r="E165" s="5" t="s">
        <v>758</v>
      </c>
      <c r="F165" s="5" t="s">
        <v>756</v>
      </c>
      <c r="G165" s="5">
        <f>COUNT(BASE_ARTICLE!E165:BB165)</f>
        <v>3</v>
      </c>
      <c r="H165" s="5">
        <f>COUNT(BASE_ARTICLE!BC165:BV165)</f>
        <v>2</v>
      </c>
      <c r="I165" s="12">
        <f>SUM(BASE_ARTICLE!BC165:BV165)</f>
        <v>1038</v>
      </c>
      <c r="J165" s="12">
        <f t="shared" si="2"/>
        <v>17.3</v>
      </c>
    </row>
    <row r="166" spans="1:10" x14ac:dyDescent="0.25">
      <c r="A166" s="5" t="str">
        <f>BASE_ARTICLE!A166</f>
        <v>ART-0165</v>
      </c>
      <c r="B166" s="5" t="str">
        <f>BASE_ARTICLE!B166</f>
        <v>Banderole</v>
      </c>
      <c r="C166" s="5" t="s">
        <v>731</v>
      </c>
      <c r="D166" s="5" t="s">
        <v>710</v>
      </c>
      <c r="E166" s="5" t="s">
        <v>759</v>
      </c>
      <c r="F166" s="5" t="s">
        <v>756</v>
      </c>
      <c r="G166" s="5">
        <f>COUNT(BASE_ARTICLE!E166:BB166)</f>
        <v>3</v>
      </c>
      <c r="H166" s="5">
        <f>COUNT(BASE_ARTICLE!BC166:BV166)</f>
        <v>2</v>
      </c>
      <c r="I166" s="12">
        <f>SUM(BASE_ARTICLE!BC166:BV166)</f>
        <v>1350</v>
      </c>
      <c r="J166" s="12">
        <f t="shared" si="2"/>
        <v>22.5</v>
      </c>
    </row>
    <row r="167" spans="1:10" x14ac:dyDescent="0.25">
      <c r="A167" s="5" t="str">
        <f>BASE_ARTICLE!A167</f>
        <v>ART-0166</v>
      </c>
      <c r="B167" s="5" t="str">
        <f>BASE_ARTICLE!B167</f>
        <v>Banderole</v>
      </c>
      <c r="C167" s="5" t="s">
        <v>731</v>
      </c>
      <c r="D167" s="5" t="s">
        <v>710</v>
      </c>
      <c r="E167" s="5" t="s">
        <v>760</v>
      </c>
      <c r="F167" s="5" t="s">
        <v>756</v>
      </c>
      <c r="G167" s="5">
        <f>COUNT(BASE_ARTICLE!E167:BB167)</f>
        <v>3</v>
      </c>
      <c r="H167" s="5">
        <f>COUNT(BASE_ARTICLE!BC167:BV167)</f>
        <v>2</v>
      </c>
      <c r="I167" s="12">
        <f>SUM(BASE_ARTICLE!BC167:BV167)</f>
        <v>1662</v>
      </c>
      <c r="J167" s="12">
        <f t="shared" si="2"/>
        <v>27.7</v>
      </c>
    </row>
    <row r="168" spans="1:10" x14ac:dyDescent="0.25">
      <c r="A168" s="5" t="str">
        <f>BASE_ARTICLE!A168</f>
        <v>ART-0167</v>
      </c>
      <c r="B168" s="5" t="str">
        <f>BASE_ARTICLE!B168</f>
        <v>Banderole</v>
      </c>
      <c r="C168" s="5" t="s">
        <v>731</v>
      </c>
      <c r="D168" s="5" t="s">
        <v>710</v>
      </c>
      <c r="E168" s="5" t="s">
        <v>761</v>
      </c>
      <c r="F168" s="5" t="s">
        <v>756</v>
      </c>
      <c r="G168" s="5">
        <f>COUNT(BASE_ARTICLE!E168:BB168)</f>
        <v>3</v>
      </c>
      <c r="H168" s="5">
        <f>COUNT(BASE_ARTICLE!BC168:BV168)</f>
        <v>2</v>
      </c>
      <c r="I168" s="12">
        <f>SUM(BASE_ARTICLE!BC168:BV168)</f>
        <v>1974</v>
      </c>
      <c r="J168" s="12">
        <f t="shared" si="2"/>
        <v>32.9</v>
      </c>
    </row>
    <row r="169" spans="1:10" x14ac:dyDescent="0.25">
      <c r="A169" s="5" t="str">
        <f>BASE_ARTICLE!A169</f>
        <v>ART-0168</v>
      </c>
      <c r="B169" s="5" t="str">
        <f>BASE_ARTICLE!B169</f>
        <v>Banderole</v>
      </c>
      <c r="C169" s="5" t="s">
        <v>731</v>
      </c>
      <c r="D169" s="5" t="s">
        <v>710</v>
      </c>
      <c r="E169" s="5" t="s">
        <v>762</v>
      </c>
      <c r="F169" s="5" t="s">
        <v>756</v>
      </c>
      <c r="G169" s="5">
        <f>COUNT(BASE_ARTICLE!E169:BB169)</f>
        <v>3</v>
      </c>
      <c r="H169" s="5">
        <f>COUNT(BASE_ARTICLE!BC169:BV169)</f>
        <v>2</v>
      </c>
      <c r="I169" s="12">
        <f>SUM(BASE_ARTICLE!BC169:BV169)</f>
        <v>2598</v>
      </c>
      <c r="J169" s="12">
        <f t="shared" si="2"/>
        <v>43.3</v>
      </c>
    </row>
    <row r="170" spans="1:10" x14ac:dyDescent="0.25">
      <c r="A170" s="5" t="str">
        <f>BASE_ARTICLE!A170</f>
        <v>ART-0169</v>
      </c>
      <c r="B170" s="5" t="str">
        <f>BASE_ARTICLE!B170</f>
        <v>Banderole</v>
      </c>
      <c r="C170" s="5" t="s">
        <v>731</v>
      </c>
      <c r="D170" s="5" t="s">
        <v>710</v>
      </c>
      <c r="E170" s="5" t="s">
        <v>763</v>
      </c>
      <c r="F170" s="5" t="s">
        <v>756</v>
      </c>
      <c r="G170" s="5">
        <f>COUNT(BASE_ARTICLE!E170:BB170)</f>
        <v>3</v>
      </c>
      <c r="H170" s="5">
        <f>COUNT(BASE_ARTICLE!BC170:BV170)</f>
        <v>2</v>
      </c>
      <c r="I170" s="12">
        <f>SUM(BASE_ARTICLE!BC170:BV170)</f>
        <v>3222</v>
      </c>
      <c r="J170" s="12">
        <f t="shared" si="2"/>
        <v>53.7</v>
      </c>
    </row>
    <row r="171" spans="1:10" x14ac:dyDescent="0.25">
      <c r="A171" s="5" t="str">
        <f>BASE_ARTICLE!A171</f>
        <v>ART-0170</v>
      </c>
      <c r="B171" s="5" t="str">
        <f>BASE_ARTICLE!B171</f>
        <v>Banderole</v>
      </c>
      <c r="C171" s="5" t="s">
        <v>731</v>
      </c>
      <c r="D171" s="5" t="s">
        <v>710</v>
      </c>
      <c r="E171" s="5" t="s">
        <v>758</v>
      </c>
      <c r="F171" s="5" t="s">
        <v>756</v>
      </c>
      <c r="G171" s="5">
        <f>COUNT(BASE_ARTICLE!E171:BB171)</f>
        <v>3</v>
      </c>
      <c r="H171" s="5">
        <f>COUNT(BASE_ARTICLE!BC171:BV171)</f>
        <v>2</v>
      </c>
      <c r="I171" s="12">
        <f>SUM(BASE_ARTICLE!BC171:BV171)</f>
        <v>1218</v>
      </c>
      <c r="J171" s="12">
        <f t="shared" si="2"/>
        <v>20.3</v>
      </c>
    </row>
    <row r="172" spans="1:10" x14ac:dyDescent="0.25">
      <c r="A172" s="5" t="str">
        <f>BASE_ARTICLE!A172</f>
        <v>ART-0171</v>
      </c>
      <c r="B172" s="5" t="str">
        <f>BASE_ARTICLE!B172</f>
        <v>Banderole</v>
      </c>
      <c r="C172" s="5" t="s">
        <v>731</v>
      </c>
      <c r="D172" s="5" t="s">
        <v>710</v>
      </c>
      <c r="E172" s="5" t="s">
        <v>760</v>
      </c>
      <c r="F172" s="5" t="s">
        <v>756</v>
      </c>
      <c r="G172" s="5">
        <f>COUNT(BASE_ARTICLE!E172:BB172)</f>
        <v>3</v>
      </c>
      <c r="H172" s="5">
        <f>COUNT(BASE_ARTICLE!BC172:BV172)</f>
        <v>2</v>
      </c>
      <c r="I172" s="12">
        <f>SUM(BASE_ARTICLE!BC172:BV172)</f>
        <v>1962</v>
      </c>
      <c r="J172" s="12">
        <f t="shared" si="2"/>
        <v>32.700000000000003</v>
      </c>
    </row>
    <row r="173" spans="1:10" x14ac:dyDescent="0.25">
      <c r="A173" s="5" t="str">
        <f>BASE_ARTICLE!A173</f>
        <v>ART-0172</v>
      </c>
      <c r="B173" s="5" t="str">
        <f>BASE_ARTICLE!B173</f>
        <v>Roll-up</v>
      </c>
      <c r="C173" s="5" t="s">
        <v>731</v>
      </c>
      <c r="D173" s="5" t="s">
        <v>710</v>
      </c>
      <c r="E173" s="5" t="s">
        <v>764</v>
      </c>
      <c r="F173" s="5" t="s">
        <v>756</v>
      </c>
      <c r="G173" s="5">
        <f>COUNT(BASE_ARTICLE!E173:BB173)</f>
        <v>3</v>
      </c>
      <c r="H173" s="5">
        <f>COUNT(BASE_ARTICLE!BC173:BV173)</f>
        <v>2</v>
      </c>
      <c r="I173" s="12">
        <f>SUM(BASE_ARTICLE!BC173:BV173)</f>
        <v>772</v>
      </c>
      <c r="J173" s="12">
        <f t="shared" si="2"/>
        <v>12.866666666666667</v>
      </c>
    </row>
    <row r="174" spans="1:10" x14ac:dyDescent="0.25">
      <c r="A174" s="5" t="str">
        <f>BASE_ARTICLE!A174</f>
        <v>ART-0173</v>
      </c>
      <c r="B174" s="5" t="str">
        <f>BASE_ARTICLE!B174</f>
        <v>Roll-up</v>
      </c>
      <c r="C174" s="5" t="s">
        <v>731</v>
      </c>
      <c r="D174" s="5" t="s">
        <v>710</v>
      </c>
      <c r="E174" s="5" t="s">
        <v>765</v>
      </c>
      <c r="F174" s="5" t="s">
        <v>756</v>
      </c>
      <c r="G174" s="5">
        <f>COUNT(BASE_ARTICLE!E174:BB174)</f>
        <v>3</v>
      </c>
      <c r="H174" s="5">
        <f>COUNT(BASE_ARTICLE!BC174:BV174)</f>
        <v>2</v>
      </c>
      <c r="I174" s="12">
        <f>SUM(BASE_ARTICLE!BC174:BV174)</f>
        <v>850</v>
      </c>
      <c r="J174" s="12">
        <f t="shared" si="2"/>
        <v>14.166666666666666</v>
      </c>
    </row>
    <row r="175" spans="1:10" x14ac:dyDescent="0.25">
      <c r="A175" s="5" t="str">
        <f>BASE_ARTICLE!A175</f>
        <v>ART-0174</v>
      </c>
      <c r="B175" s="5" t="str">
        <f>BASE_ARTICLE!B175</f>
        <v>Roll-up</v>
      </c>
      <c r="C175" s="5" t="s">
        <v>731</v>
      </c>
      <c r="D175" s="5" t="s">
        <v>710</v>
      </c>
      <c r="E175" s="5" t="s">
        <v>766</v>
      </c>
      <c r="F175" s="5" t="s">
        <v>756</v>
      </c>
      <c r="G175" s="5">
        <f>COUNT(BASE_ARTICLE!E175:BB175)</f>
        <v>3</v>
      </c>
      <c r="H175" s="5">
        <f>COUNT(BASE_ARTICLE!BC175:BV175)</f>
        <v>2</v>
      </c>
      <c r="I175" s="12">
        <f>SUM(BASE_ARTICLE!BC175:BV175)</f>
        <v>954</v>
      </c>
      <c r="J175" s="12">
        <f t="shared" si="2"/>
        <v>15.9</v>
      </c>
    </row>
    <row r="176" spans="1:10" x14ac:dyDescent="0.25">
      <c r="A176" s="5" t="str">
        <f>BASE_ARTICLE!A176</f>
        <v>ART-0175</v>
      </c>
      <c r="B176" s="5" t="str">
        <f>BASE_ARTICLE!B176</f>
        <v>Kakémono</v>
      </c>
      <c r="C176" s="5" t="s">
        <v>731</v>
      </c>
      <c r="D176" s="5" t="s">
        <v>710</v>
      </c>
      <c r="E176" s="5" t="s">
        <v>767</v>
      </c>
      <c r="F176" s="5" t="s">
        <v>756</v>
      </c>
      <c r="G176" s="5">
        <f>COUNT(BASE_ARTICLE!E176:BB176)</f>
        <v>3</v>
      </c>
      <c r="H176" s="5">
        <f>COUNT(BASE_ARTICLE!BC176:BV176)</f>
        <v>2</v>
      </c>
      <c r="I176" s="12">
        <f>SUM(BASE_ARTICLE!BC176:BV176)</f>
        <v>459.6</v>
      </c>
      <c r="J176" s="12">
        <f t="shared" si="2"/>
        <v>7.66</v>
      </c>
    </row>
    <row r="177" spans="1:10" x14ac:dyDescent="0.25">
      <c r="A177" s="5" t="str">
        <f>BASE_ARTICLE!A177</f>
        <v>ART-0176</v>
      </c>
      <c r="B177" s="5" t="str">
        <f>BASE_ARTICLE!B177</f>
        <v>Kakémono</v>
      </c>
      <c r="C177" s="5" t="s">
        <v>731</v>
      </c>
      <c r="D177" s="5" t="s">
        <v>710</v>
      </c>
      <c r="E177" s="5" t="s">
        <v>768</v>
      </c>
      <c r="F177" s="5" t="s">
        <v>756</v>
      </c>
      <c r="G177" s="5">
        <f>COUNT(BASE_ARTICLE!E177:BB177)</f>
        <v>3</v>
      </c>
      <c r="H177" s="5">
        <f>COUNT(BASE_ARTICLE!BC177:BV177)</f>
        <v>2</v>
      </c>
      <c r="I177" s="12">
        <f>SUM(BASE_ARTICLE!BC177:BV177)</f>
        <v>626</v>
      </c>
      <c r="J177" s="12">
        <f t="shared" si="2"/>
        <v>10.433333333333334</v>
      </c>
    </row>
    <row r="178" spans="1:10" x14ac:dyDescent="0.25">
      <c r="A178" s="5" t="str">
        <f>BASE_ARTICLE!A178</f>
        <v>ART-0177</v>
      </c>
      <c r="B178" s="5" t="str">
        <f>BASE_ARTICLE!B178</f>
        <v>Kakémono</v>
      </c>
      <c r="C178" s="5" t="s">
        <v>731</v>
      </c>
      <c r="D178" s="5" t="s">
        <v>710</v>
      </c>
      <c r="E178" s="5" t="s">
        <v>765</v>
      </c>
      <c r="F178" s="5" t="s">
        <v>756</v>
      </c>
      <c r="G178" s="5">
        <f>COUNT(BASE_ARTICLE!E178:BB178)</f>
        <v>3</v>
      </c>
      <c r="H178" s="5">
        <f>COUNT(BASE_ARTICLE!BC178:BV178)</f>
        <v>2</v>
      </c>
      <c r="I178" s="12">
        <f>SUM(BASE_ARTICLE!BC178:BV178)</f>
        <v>730</v>
      </c>
      <c r="J178" s="12">
        <f t="shared" si="2"/>
        <v>12.166666666666666</v>
      </c>
    </row>
    <row r="179" spans="1:10" x14ac:dyDescent="0.25">
      <c r="A179" s="5" t="str">
        <f>BASE_ARTICLE!A179</f>
        <v>ART-0178</v>
      </c>
      <c r="B179" s="5" t="str">
        <f>BASE_ARTICLE!B179</f>
        <v>Affiche</v>
      </c>
      <c r="C179" s="5" t="s">
        <v>731</v>
      </c>
      <c r="D179" s="5" t="s">
        <v>710</v>
      </c>
      <c r="E179" s="5" t="s">
        <v>751</v>
      </c>
      <c r="F179" s="5" t="s">
        <v>756</v>
      </c>
      <c r="G179" s="5">
        <f>COUNT(BASE_ARTICLE!E179:BB179)</f>
        <v>2</v>
      </c>
      <c r="H179" s="5">
        <f>COUNT(BASE_ARTICLE!BC179:BV179)</f>
        <v>2</v>
      </c>
      <c r="I179" s="12">
        <f>SUM(BASE_ARTICLE!BC179:BV179)</f>
        <v>74.91</v>
      </c>
      <c r="J179" s="12">
        <f t="shared" si="2"/>
        <v>1.2484999999999999</v>
      </c>
    </row>
    <row r="180" spans="1:10" x14ac:dyDescent="0.25">
      <c r="A180" s="5" t="str">
        <f>BASE_ARTICLE!A180</f>
        <v>ART-0179</v>
      </c>
      <c r="B180" s="5" t="str">
        <f>BASE_ARTICLE!B180</f>
        <v>Affiche</v>
      </c>
      <c r="C180" s="5" t="s">
        <v>731</v>
      </c>
      <c r="D180" s="5" t="s">
        <v>710</v>
      </c>
      <c r="E180" s="5" t="s">
        <v>769</v>
      </c>
      <c r="F180" s="5" t="s">
        <v>756</v>
      </c>
      <c r="G180" s="5">
        <f>COUNT(BASE_ARTICLE!E180:BB180)</f>
        <v>2</v>
      </c>
      <c r="H180" s="5">
        <f>COUNT(BASE_ARTICLE!BC180:BV180)</f>
        <v>2</v>
      </c>
      <c r="I180" s="12">
        <f>SUM(BASE_ARTICLE!BC180:BV180)</f>
        <v>119.92</v>
      </c>
      <c r="J180" s="12">
        <f t="shared" si="2"/>
        <v>1.9986666666666666</v>
      </c>
    </row>
    <row r="181" spans="1:10" x14ac:dyDescent="0.25">
      <c r="A181" s="5" t="str">
        <f>BASE_ARTICLE!A181</f>
        <v>ART-0180</v>
      </c>
      <c r="B181" s="5" t="str">
        <f>BASE_ARTICLE!B181</f>
        <v>Affiche</v>
      </c>
      <c r="C181" s="5" t="s">
        <v>731</v>
      </c>
      <c r="D181" s="5" t="s">
        <v>710</v>
      </c>
      <c r="E181" s="5" t="s">
        <v>770</v>
      </c>
      <c r="F181" s="5" t="s">
        <v>756</v>
      </c>
      <c r="G181" s="5">
        <f>COUNT(BASE_ARTICLE!E181:BB181)</f>
        <v>2</v>
      </c>
      <c r="H181" s="5">
        <f>COUNT(BASE_ARTICLE!BC181:BV181)</f>
        <v>2</v>
      </c>
      <c r="I181" s="12">
        <f>SUM(BASE_ARTICLE!BC181:BV181)</f>
        <v>209.99</v>
      </c>
      <c r="J181" s="12">
        <f t="shared" si="2"/>
        <v>3.4998333333333336</v>
      </c>
    </row>
    <row r="182" spans="1:10" x14ac:dyDescent="0.25">
      <c r="A182" s="5" t="str">
        <f>BASE_ARTICLE!A182</f>
        <v>ART-0181</v>
      </c>
      <c r="B182" s="5" t="str">
        <f>BASE_ARTICLE!B182</f>
        <v>Affiche</v>
      </c>
      <c r="C182" s="5" t="s">
        <v>731</v>
      </c>
      <c r="D182" s="5" t="s">
        <v>710</v>
      </c>
      <c r="E182" s="5" t="s">
        <v>771</v>
      </c>
      <c r="F182" s="5" t="s">
        <v>756</v>
      </c>
      <c r="G182" s="5">
        <f>COUNT(BASE_ARTICLE!E182:BB182)</f>
        <v>2</v>
      </c>
      <c r="H182" s="5">
        <f>COUNT(BASE_ARTICLE!BC182:BV182)</f>
        <v>2</v>
      </c>
      <c r="I182" s="12">
        <f>SUM(BASE_ARTICLE!BC182:BV182)</f>
        <v>116.4</v>
      </c>
      <c r="J182" s="12">
        <f t="shared" si="2"/>
        <v>1.9400000000000002</v>
      </c>
    </row>
    <row r="183" spans="1:10" x14ac:dyDescent="0.25">
      <c r="A183" s="5" t="str">
        <f>BASE_ARTICLE!A183</f>
        <v>ART-0182</v>
      </c>
      <c r="B183" s="5" t="str">
        <f>BASE_ARTICLE!B183</f>
        <v>Affiche</v>
      </c>
      <c r="C183" s="5" t="s">
        <v>731</v>
      </c>
      <c r="D183" s="5" t="s">
        <v>710</v>
      </c>
      <c r="E183" s="5" t="s">
        <v>772</v>
      </c>
      <c r="F183" s="5" t="s">
        <v>756</v>
      </c>
      <c r="G183" s="5">
        <f>COUNT(BASE_ARTICLE!E183:BB183)</f>
        <v>2</v>
      </c>
      <c r="H183" s="5">
        <f>COUNT(BASE_ARTICLE!BC183:BV183)</f>
        <v>2</v>
      </c>
      <c r="I183" s="12">
        <f>SUM(BASE_ARTICLE!BC183:BV183)</f>
        <v>410.16</v>
      </c>
      <c r="J183" s="12">
        <f t="shared" si="2"/>
        <v>6.8360000000000003</v>
      </c>
    </row>
    <row r="184" spans="1:10" x14ac:dyDescent="0.25">
      <c r="A184" s="5" t="str">
        <f>BASE_ARTICLE!A184</f>
        <v>ART-0183</v>
      </c>
      <c r="B184" s="5" t="str">
        <f>BASE_ARTICLE!B184</f>
        <v>Vinyle adhésif</v>
      </c>
      <c r="C184" s="5" t="s">
        <v>754</v>
      </c>
      <c r="D184" s="5" t="s">
        <v>710</v>
      </c>
      <c r="E184" s="5" t="s">
        <v>755</v>
      </c>
      <c r="F184" s="5" t="s">
        <v>756</v>
      </c>
      <c r="G184" s="5">
        <f>COUNT(BASE_ARTICLE!E184:BB184)</f>
        <v>2</v>
      </c>
      <c r="H184" s="5">
        <f>COUNT(BASE_ARTICLE!BC184:BV184)</f>
        <v>2</v>
      </c>
      <c r="I184" s="12">
        <f>SUM(BASE_ARTICLE!BC184:BV184)</f>
        <v>260</v>
      </c>
      <c r="J184" s="12">
        <f t="shared" si="2"/>
        <v>4.333333333333333</v>
      </c>
    </row>
    <row r="185" spans="1:10" x14ac:dyDescent="0.25">
      <c r="A185" s="5" t="str">
        <f>BASE_ARTICLE!A185</f>
        <v>ART-0184</v>
      </c>
      <c r="B185" s="5" t="str">
        <f>BASE_ARTICLE!B185</f>
        <v>Vinyle adhésif</v>
      </c>
      <c r="C185" s="5" t="s">
        <v>754</v>
      </c>
      <c r="D185" s="5" t="s">
        <v>773</v>
      </c>
      <c r="E185" s="5" t="s">
        <v>755</v>
      </c>
      <c r="F185" s="5" t="s">
        <v>750</v>
      </c>
      <c r="G185" s="5">
        <f>COUNT(BASE_ARTICLE!E185:BB185)</f>
        <v>2</v>
      </c>
      <c r="H185" s="5">
        <f>COUNT(BASE_ARTICLE!BC185:BV185)</f>
        <v>3</v>
      </c>
      <c r="I185" s="12">
        <f>SUM(BASE_ARTICLE!BC185:BV185)</f>
        <v>560</v>
      </c>
      <c r="J185" s="12">
        <f t="shared" si="2"/>
        <v>9.3333333333333339</v>
      </c>
    </row>
    <row r="186" spans="1:10" x14ac:dyDescent="0.25">
      <c r="A186" s="5" t="str">
        <f>BASE_ARTICLE!A186</f>
        <v>ART-0185</v>
      </c>
      <c r="B186" s="5" t="str">
        <f>BASE_ARTICLE!B186</f>
        <v>Vitrophanie</v>
      </c>
      <c r="C186" s="5" t="s">
        <v>754</v>
      </c>
      <c r="D186" s="5" t="s">
        <v>710</v>
      </c>
      <c r="E186" s="5" t="s">
        <v>755</v>
      </c>
      <c r="F186" s="5" t="s">
        <v>756</v>
      </c>
      <c r="G186" s="5">
        <f>COUNT(BASE_ARTICLE!E186:BB186)</f>
        <v>2</v>
      </c>
      <c r="H186" s="5">
        <f>COUNT(BASE_ARTICLE!BC186:BV186)</f>
        <v>2</v>
      </c>
      <c r="I186" s="12">
        <f>SUM(BASE_ARTICLE!BC186:BV186)</f>
        <v>260</v>
      </c>
      <c r="J186" s="12">
        <f t="shared" si="2"/>
        <v>4.333333333333333</v>
      </c>
    </row>
    <row r="187" spans="1:10" x14ac:dyDescent="0.25">
      <c r="A187" s="5" t="str">
        <f>BASE_ARTICLE!A187</f>
        <v>ART-0186</v>
      </c>
      <c r="B187" s="5" t="str">
        <f>BASE_ARTICLE!B187</f>
        <v>Vitrophanie</v>
      </c>
      <c r="C187" s="5" t="s">
        <v>754</v>
      </c>
      <c r="D187" s="5" t="s">
        <v>710</v>
      </c>
      <c r="E187" s="5" t="s">
        <v>755</v>
      </c>
      <c r="F187" s="5" t="s">
        <v>756</v>
      </c>
      <c r="G187" s="5">
        <f>COUNT(BASE_ARTICLE!E187:BB187)</f>
        <v>2</v>
      </c>
      <c r="H187" s="5">
        <f>COUNT(BASE_ARTICLE!BC187:BV187)</f>
        <v>2</v>
      </c>
      <c r="I187" s="12">
        <f>SUM(BASE_ARTICLE!BC187:BV187)</f>
        <v>300</v>
      </c>
      <c r="J187" s="12">
        <f t="shared" si="2"/>
        <v>5</v>
      </c>
    </row>
    <row r="188" spans="1:10" x14ac:dyDescent="0.25">
      <c r="A188" s="5" t="str">
        <f>BASE_ARTICLE!A188</f>
        <v>ART-0187</v>
      </c>
      <c r="B188" s="5" t="str">
        <f>BASE_ARTICLE!B188</f>
        <v>Sticker véhicule</v>
      </c>
      <c r="C188" s="5" t="s">
        <v>774</v>
      </c>
      <c r="D188" s="5" t="s">
        <v>773</v>
      </c>
      <c r="E188" s="5" t="s">
        <v>775</v>
      </c>
      <c r="F188" s="5" t="s">
        <v>750</v>
      </c>
      <c r="G188" s="5">
        <f>COUNT(BASE_ARTICLE!E188:BB188)</f>
        <v>2</v>
      </c>
      <c r="H188" s="5">
        <f>COUNT(BASE_ARTICLE!BC188:BV188)</f>
        <v>3</v>
      </c>
      <c r="I188" s="12">
        <f>SUM(BASE_ARTICLE!BC188:BV188)</f>
        <v>319.2</v>
      </c>
      <c r="J188" s="12">
        <f t="shared" si="2"/>
        <v>5.3199999999999994</v>
      </c>
    </row>
    <row r="189" spans="1:10" x14ac:dyDescent="0.25">
      <c r="A189" s="5" t="str">
        <f>BASE_ARTICLE!A189</f>
        <v>ART-0188</v>
      </c>
      <c r="B189" s="5" t="str">
        <f>BASE_ARTICLE!B189</f>
        <v>Mur d'étoiles</v>
      </c>
      <c r="C189" s="5" t="s">
        <v>731</v>
      </c>
      <c r="D189" s="5" t="s">
        <v>710</v>
      </c>
      <c r="E189" s="5" t="s">
        <v>776</v>
      </c>
      <c r="F189" s="5" t="s">
        <v>756</v>
      </c>
      <c r="G189" s="5">
        <f>COUNT(BASE_ARTICLE!E189:BB189)</f>
        <v>3</v>
      </c>
      <c r="H189" s="5">
        <f>COUNT(BASE_ARTICLE!BC189:BV189)</f>
        <v>2</v>
      </c>
      <c r="I189" s="12">
        <f>SUM(BASE_ARTICLE!BC189:BV189)</f>
        <v>1278</v>
      </c>
      <c r="J189" s="12">
        <f t="shared" si="2"/>
        <v>21.3</v>
      </c>
    </row>
    <row r="190" spans="1:10" x14ac:dyDescent="0.25">
      <c r="A190" s="5" t="str">
        <f>BASE_ARTICLE!A190</f>
        <v>ART-0189</v>
      </c>
      <c r="B190" s="5" t="str">
        <f>BASE_ARTICLE!B190</f>
        <v>Mur d'étoiles</v>
      </c>
      <c r="C190" s="5" t="s">
        <v>731</v>
      </c>
      <c r="D190" s="5" t="s">
        <v>710</v>
      </c>
      <c r="E190" s="5" t="s">
        <v>777</v>
      </c>
      <c r="F190" s="5" t="s">
        <v>756</v>
      </c>
      <c r="G190" s="5">
        <f>COUNT(BASE_ARTICLE!E190:BB190)</f>
        <v>3</v>
      </c>
      <c r="H190" s="5">
        <f>COUNT(BASE_ARTICLE!BC190:BV190)</f>
        <v>2</v>
      </c>
      <c r="I190" s="12">
        <f>SUM(BASE_ARTICLE!BC190:BV190)</f>
        <v>1830</v>
      </c>
      <c r="J190" s="12">
        <f t="shared" si="2"/>
        <v>30.5</v>
      </c>
    </row>
    <row r="191" spans="1:10" x14ac:dyDescent="0.25">
      <c r="A191" s="5" t="str">
        <f>BASE_ARTICLE!A191</f>
        <v>ART-0190</v>
      </c>
      <c r="B191" s="5" t="str">
        <f>BASE_ARTICLE!B191</f>
        <v>Mur d'étoiles</v>
      </c>
      <c r="C191" s="5" t="s">
        <v>731</v>
      </c>
      <c r="D191" s="5" t="s">
        <v>710</v>
      </c>
      <c r="E191" s="5" t="s">
        <v>778</v>
      </c>
      <c r="F191" s="5" t="s">
        <v>756</v>
      </c>
      <c r="G191" s="5">
        <f>COUNT(BASE_ARTICLE!E191:BB191)</f>
        <v>3</v>
      </c>
      <c r="H191" s="5">
        <f>COUNT(BASE_ARTICLE!BC191:BV191)</f>
        <v>2</v>
      </c>
      <c r="I191" s="12">
        <f>SUM(BASE_ARTICLE!BC191:BV191)</f>
        <v>2226</v>
      </c>
      <c r="J191" s="12">
        <f t="shared" si="2"/>
        <v>37.1</v>
      </c>
    </row>
    <row r="192" spans="1:10" x14ac:dyDescent="0.25">
      <c r="A192" s="5" t="str">
        <f>BASE_ARTICLE!A192</f>
        <v>ART-0191</v>
      </c>
      <c r="B192" s="5" t="str">
        <f>BASE_ARTICLE!B192</f>
        <v>Mur d'étoiles</v>
      </c>
      <c r="C192" s="5" t="s">
        <v>731</v>
      </c>
      <c r="D192" s="5" t="s">
        <v>710</v>
      </c>
      <c r="E192" s="5" t="s">
        <v>779</v>
      </c>
      <c r="F192" s="5" t="s">
        <v>756</v>
      </c>
      <c r="G192" s="5">
        <f>COUNT(BASE_ARTICLE!E192:BB192)</f>
        <v>3</v>
      </c>
      <c r="H192" s="5">
        <f>COUNT(BASE_ARTICLE!BC192:BV192)</f>
        <v>2</v>
      </c>
      <c r="I192" s="12">
        <f>SUM(BASE_ARTICLE!BC192:BV192)</f>
        <v>2898</v>
      </c>
      <c r="J192" s="12">
        <f t="shared" si="2"/>
        <v>48.3</v>
      </c>
    </row>
    <row r="193" spans="1:10" x14ac:dyDescent="0.25">
      <c r="A193" s="5" t="str">
        <f>BASE_ARTICLE!A193</f>
        <v>ART-0192</v>
      </c>
      <c r="B193" s="5" t="str">
        <f>BASE_ARTICLE!B193</f>
        <v>Mur d'étoiles</v>
      </c>
      <c r="C193" s="5" t="s">
        <v>731</v>
      </c>
      <c r="D193" s="5" t="s">
        <v>710</v>
      </c>
      <c r="E193" s="5" t="s">
        <v>780</v>
      </c>
      <c r="F193" s="5" t="s">
        <v>756</v>
      </c>
      <c r="G193" s="5">
        <f>COUNT(BASE_ARTICLE!E193:BB193)</f>
        <v>3</v>
      </c>
      <c r="H193" s="5">
        <f>COUNT(BASE_ARTICLE!BC193:BV193)</f>
        <v>2</v>
      </c>
      <c r="I193" s="12">
        <f>SUM(BASE_ARTICLE!BC193:BV193)</f>
        <v>3570</v>
      </c>
      <c r="J193" s="12">
        <f t="shared" si="2"/>
        <v>59.5</v>
      </c>
    </row>
    <row r="194" spans="1:10" x14ac:dyDescent="0.25">
      <c r="A194" s="5" t="str">
        <f>BASE_ARTICLE!A194</f>
        <v>ART-0193</v>
      </c>
      <c r="B194" s="5" t="str">
        <f>BASE_ARTICLE!B194</f>
        <v>Drapeau</v>
      </c>
      <c r="C194" s="5" t="s">
        <v>731</v>
      </c>
      <c r="D194" s="5" t="s">
        <v>710</v>
      </c>
      <c r="E194" s="5" t="s">
        <v>781</v>
      </c>
      <c r="F194" s="5" t="s">
        <v>756</v>
      </c>
      <c r="G194" s="5">
        <f>COUNT(BASE_ARTICLE!E194:BB194)</f>
        <v>2</v>
      </c>
      <c r="H194" s="5">
        <f>COUNT(BASE_ARTICLE!BC194:BV194)</f>
        <v>2</v>
      </c>
      <c r="I194" s="12">
        <f>SUM(BASE_ARTICLE!BC194:BV194)</f>
        <v>580</v>
      </c>
      <c r="J194" s="12">
        <f t="shared" ref="J194:J257" si="3">I194/60</f>
        <v>9.6666666666666661</v>
      </c>
    </row>
    <row r="195" spans="1:10" x14ac:dyDescent="0.25">
      <c r="A195" s="5" t="str">
        <f>BASE_ARTICLE!A195</f>
        <v>ART-0194</v>
      </c>
      <c r="B195" s="5" t="str">
        <f>BASE_ARTICLE!B195</f>
        <v>Drapeau</v>
      </c>
      <c r="C195" s="5" t="s">
        <v>731</v>
      </c>
      <c r="D195" s="5" t="s">
        <v>710</v>
      </c>
      <c r="E195" s="5" t="s">
        <v>782</v>
      </c>
      <c r="F195" s="5" t="s">
        <v>756</v>
      </c>
      <c r="G195" s="5">
        <f>COUNT(BASE_ARTICLE!E195:BB195)</f>
        <v>2</v>
      </c>
      <c r="H195" s="5">
        <f>COUNT(BASE_ARTICLE!BC195:BV195)</f>
        <v>2</v>
      </c>
      <c r="I195" s="12">
        <f>SUM(BASE_ARTICLE!BC195:BV195)</f>
        <v>1192.5</v>
      </c>
      <c r="J195" s="12">
        <f t="shared" si="3"/>
        <v>19.875</v>
      </c>
    </row>
    <row r="196" spans="1:10" x14ac:dyDescent="0.25">
      <c r="A196" s="5" t="str">
        <f>BASE_ARTICLE!A196</f>
        <v>ART-0195</v>
      </c>
      <c r="B196" s="5" t="str">
        <f>BASE_ARTICLE!B196</f>
        <v>Panneau de chantier</v>
      </c>
      <c r="C196" s="5" t="s">
        <v>731</v>
      </c>
      <c r="D196" s="5" t="s">
        <v>710</v>
      </c>
      <c r="E196" s="5" t="s">
        <v>757</v>
      </c>
      <c r="F196" s="5" t="s">
        <v>756</v>
      </c>
      <c r="G196" s="5">
        <f>COUNT(BASE_ARTICLE!E196:BB196)</f>
        <v>3</v>
      </c>
      <c r="H196" s="5">
        <f>COUNT(BASE_ARTICLE!BC196:BV196)</f>
        <v>2</v>
      </c>
      <c r="I196" s="12">
        <f>SUM(BASE_ARTICLE!BC196:BV196)</f>
        <v>726</v>
      </c>
      <c r="J196" s="12">
        <f t="shared" si="3"/>
        <v>12.1</v>
      </c>
    </row>
    <row r="197" spans="1:10" x14ac:dyDescent="0.25">
      <c r="A197" s="5" t="str">
        <f>BASE_ARTICLE!A197</f>
        <v>ART-0196</v>
      </c>
      <c r="B197" s="5" t="str">
        <f>BASE_ARTICLE!B197</f>
        <v>Panneau de chantier</v>
      </c>
      <c r="C197" s="5" t="s">
        <v>731</v>
      </c>
      <c r="D197" s="5" t="s">
        <v>710</v>
      </c>
      <c r="E197" s="5" t="s">
        <v>777</v>
      </c>
      <c r="F197" s="5" t="s">
        <v>756</v>
      </c>
      <c r="G197" s="5">
        <f>COUNT(BASE_ARTICLE!E197:BB197)</f>
        <v>3</v>
      </c>
      <c r="H197" s="5">
        <f>COUNT(BASE_ARTICLE!BC197:BV197)</f>
        <v>2</v>
      </c>
      <c r="I197" s="12">
        <f>SUM(BASE_ARTICLE!BC197:BV197)</f>
        <v>1830</v>
      </c>
      <c r="J197" s="12">
        <f t="shared" si="3"/>
        <v>30.5</v>
      </c>
    </row>
    <row r="198" spans="1:10" x14ac:dyDescent="0.25">
      <c r="A198" s="5" t="str">
        <f>BASE_ARTICLE!A198</f>
        <v>ART-0197</v>
      </c>
      <c r="B198" s="5" t="str">
        <f>BASE_ARTICLE!B198</f>
        <v>Panneau de chantier</v>
      </c>
      <c r="C198" s="5" t="s">
        <v>731</v>
      </c>
      <c r="D198" s="5" t="s">
        <v>710</v>
      </c>
      <c r="E198" s="5" t="s">
        <v>783</v>
      </c>
      <c r="F198" s="5" t="s">
        <v>756</v>
      </c>
      <c r="G198" s="5">
        <f>COUNT(BASE_ARTICLE!E198:BB198)</f>
        <v>3</v>
      </c>
      <c r="H198" s="5">
        <f>COUNT(BASE_ARTICLE!BC198:BV198)</f>
        <v>2</v>
      </c>
      <c r="I198" s="12">
        <f>SUM(BASE_ARTICLE!BC198:BV198)</f>
        <v>3414</v>
      </c>
      <c r="J198" s="12">
        <f t="shared" si="3"/>
        <v>56.9</v>
      </c>
    </row>
    <row r="199" spans="1:10" x14ac:dyDescent="0.25">
      <c r="A199" s="5" t="str">
        <f>BASE_ARTICLE!A199</f>
        <v>ART-0198</v>
      </c>
      <c r="B199" s="5" t="str">
        <f>BASE_ARTICLE!B199</f>
        <v>Panneau de chantier</v>
      </c>
      <c r="C199" s="5" t="s">
        <v>731</v>
      </c>
      <c r="D199" s="5" t="s">
        <v>710</v>
      </c>
      <c r="E199" s="5" t="s">
        <v>784</v>
      </c>
      <c r="F199" s="5" t="s">
        <v>756</v>
      </c>
      <c r="G199" s="5">
        <f>COUNT(BASE_ARTICLE!E199:BB199)</f>
        <v>3</v>
      </c>
      <c r="H199" s="5">
        <f>COUNT(BASE_ARTICLE!BC199:BV199)</f>
        <v>2</v>
      </c>
      <c r="I199" s="12">
        <f>SUM(BASE_ARTICLE!BC199:BV199)</f>
        <v>4998</v>
      </c>
      <c r="J199" s="12">
        <f t="shared" si="3"/>
        <v>83.3</v>
      </c>
    </row>
    <row r="200" spans="1:10" x14ac:dyDescent="0.25">
      <c r="A200" s="5" t="str">
        <f>BASE_ARTICLE!A200</f>
        <v>ART-0199</v>
      </c>
      <c r="B200" s="5" t="str">
        <f>BASE_ARTICLE!B200</f>
        <v>Palissade de chantier</v>
      </c>
      <c r="C200" s="5" t="s">
        <v>785</v>
      </c>
      <c r="D200" s="5" t="s">
        <v>710</v>
      </c>
      <c r="E200" s="5" t="s">
        <v>786</v>
      </c>
      <c r="F200" s="5" t="s">
        <v>756</v>
      </c>
      <c r="G200" s="5">
        <f>COUNT(BASE_ARTICLE!E200:BB200)</f>
        <v>3</v>
      </c>
      <c r="H200" s="5">
        <f>COUNT(BASE_ARTICLE!BC200:BV200)</f>
        <v>2</v>
      </c>
      <c r="I200" s="12">
        <f>SUM(BASE_ARTICLE!BC200:BV200)</f>
        <v>562</v>
      </c>
      <c r="J200" s="12">
        <f t="shared" si="3"/>
        <v>9.3666666666666671</v>
      </c>
    </row>
    <row r="201" spans="1:10" x14ac:dyDescent="0.25">
      <c r="A201" s="5" t="str">
        <f>BASE_ARTICLE!A201</f>
        <v>ART-0200</v>
      </c>
      <c r="B201" s="5" t="str">
        <f>BASE_ARTICLE!B201</f>
        <v>T-shirt</v>
      </c>
      <c r="C201" s="5" t="s">
        <v>731</v>
      </c>
      <c r="D201" s="5" t="s">
        <v>712</v>
      </c>
      <c r="E201" s="5" t="s">
        <v>787</v>
      </c>
      <c r="F201" s="5" t="s">
        <v>734</v>
      </c>
      <c r="G201" s="5">
        <f>COUNT(BASE_ARTICLE!E201:BB201)</f>
        <v>4</v>
      </c>
      <c r="H201" s="5">
        <f>COUNT(BASE_ARTICLE!BC201:BV201)</f>
        <v>3</v>
      </c>
      <c r="I201" s="12">
        <f>SUM(BASE_ARTICLE!BC201:BV201)</f>
        <v>32.5</v>
      </c>
      <c r="J201" s="12">
        <f t="shared" si="3"/>
        <v>0.54166666666666663</v>
      </c>
    </row>
    <row r="202" spans="1:10" x14ac:dyDescent="0.25">
      <c r="A202" s="5" t="str">
        <f>BASE_ARTICLE!A202</f>
        <v>ART-0201</v>
      </c>
      <c r="B202" s="5" t="str">
        <f>BASE_ARTICLE!B202</f>
        <v>T-shirt</v>
      </c>
      <c r="C202" s="5" t="s">
        <v>731</v>
      </c>
      <c r="D202" s="5" t="s">
        <v>712</v>
      </c>
      <c r="E202" s="5" t="s">
        <v>787</v>
      </c>
      <c r="F202" s="5" t="s">
        <v>734</v>
      </c>
      <c r="G202" s="5">
        <f>COUNT(BASE_ARTICLE!E202:BB202)</f>
        <v>4</v>
      </c>
      <c r="H202" s="5">
        <f>COUNT(BASE_ARTICLE!BC202:BV202)</f>
        <v>3</v>
      </c>
      <c r="I202" s="12">
        <f>SUM(BASE_ARTICLE!BC202:BV202)</f>
        <v>71.78</v>
      </c>
      <c r="J202" s="12">
        <f t="shared" si="3"/>
        <v>1.1963333333333332</v>
      </c>
    </row>
    <row r="203" spans="1:10" x14ac:dyDescent="0.25">
      <c r="A203" s="5" t="str">
        <f>BASE_ARTICLE!A203</f>
        <v>ART-0202</v>
      </c>
      <c r="B203" s="5" t="str">
        <f>BASE_ARTICLE!B203</f>
        <v>T-shirt</v>
      </c>
      <c r="C203" s="5" t="s">
        <v>731</v>
      </c>
      <c r="D203" s="5" t="s">
        <v>712</v>
      </c>
      <c r="E203" s="5" t="s">
        <v>787</v>
      </c>
      <c r="F203" s="5" t="s">
        <v>734</v>
      </c>
      <c r="G203" s="5">
        <f>COUNT(BASE_ARTICLE!E203:BB203)</f>
        <v>4</v>
      </c>
      <c r="H203" s="5">
        <f>COUNT(BASE_ARTICLE!BC203:BV203)</f>
        <v>3</v>
      </c>
      <c r="I203" s="12">
        <f>SUM(BASE_ARTICLE!BC203:BV203)</f>
        <v>118.55000000000001</v>
      </c>
      <c r="J203" s="12">
        <f t="shared" si="3"/>
        <v>1.9758333333333336</v>
      </c>
    </row>
    <row r="204" spans="1:10" x14ac:dyDescent="0.25">
      <c r="A204" s="5" t="str">
        <f>BASE_ARTICLE!A204</f>
        <v>ART-0203</v>
      </c>
      <c r="B204" s="5" t="str">
        <f>BASE_ARTICLE!B204</f>
        <v>T-shirt</v>
      </c>
      <c r="C204" s="5" t="s">
        <v>731</v>
      </c>
      <c r="D204" s="5" t="s">
        <v>712</v>
      </c>
      <c r="E204" s="5" t="s">
        <v>787</v>
      </c>
      <c r="F204" s="5" t="s">
        <v>734</v>
      </c>
      <c r="G204" s="5">
        <f>COUNT(BASE_ARTICLE!E204:BB204)</f>
        <v>4</v>
      </c>
      <c r="H204" s="5">
        <f>COUNT(BASE_ARTICLE!BC204:BV204)</f>
        <v>3</v>
      </c>
      <c r="I204" s="12">
        <f>SUM(BASE_ARTICLE!BC204:BV204)</f>
        <v>104.28</v>
      </c>
      <c r="J204" s="12">
        <f t="shared" si="3"/>
        <v>1.738</v>
      </c>
    </row>
    <row r="205" spans="1:10" x14ac:dyDescent="0.25">
      <c r="A205" s="5" t="str">
        <f>BASE_ARTICLE!A205</f>
        <v>ART-0204</v>
      </c>
      <c r="B205" s="5" t="str">
        <f>BASE_ARTICLE!B205</f>
        <v>T-shirt</v>
      </c>
      <c r="C205" s="5" t="s">
        <v>731</v>
      </c>
      <c r="D205" s="5" t="s">
        <v>712</v>
      </c>
      <c r="E205" s="5" t="s">
        <v>787</v>
      </c>
      <c r="F205" s="5" t="s">
        <v>734</v>
      </c>
      <c r="G205" s="5">
        <f>COUNT(BASE_ARTICLE!E205:BB205)</f>
        <v>4</v>
      </c>
      <c r="H205" s="5">
        <f>COUNT(BASE_ARTICLE!BC205:BV205)</f>
        <v>3</v>
      </c>
      <c r="I205" s="12">
        <f>SUM(BASE_ARTICLE!BC205:BV205)</f>
        <v>151.05000000000001</v>
      </c>
      <c r="J205" s="12">
        <f t="shared" si="3"/>
        <v>2.5175000000000001</v>
      </c>
    </row>
    <row r="206" spans="1:10" x14ac:dyDescent="0.25">
      <c r="A206" s="5" t="str">
        <f>BASE_ARTICLE!A206</f>
        <v>ART-0205</v>
      </c>
      <c r="B206" s="5" t="str">
        <f>BASE_ARTICLE!B206</f>
        <v>T-shirt</v>
      </c>
      <c r="C206" s="5" t="s">
        <v>731</v>
      </c>
      <c r="D206" s="5" t="s">
        <v>712</v>
      </c>
      <c r="E206" s="5" t="s">
        <v>787</v>
      </c>
      <c r="F206" s="5" t="s">
        <v>734</v>
      </c>
      <c r="G206" s="5">
        <f>COUNT(BASE_ARTICLE!E206:BB206)</f>
        <v>4</v>
      </c>
      <c r="H206" s="5">
        <f>COUNT(BASE_ARTICLE!BC206:BV206)</f>
        <v>3</v>
      </c>
      <c r="I206" s="12">
        <f>SUM(BASE_ARTICLE!BC206:BV206)</f>
        <v>32.5</v>
      </c>
      <c r="J206" s="12">
        <f t="shared" si="3"/>
        <v>0.54166666666666663</v>
      </c>
    </row>
    <row r="207" spans="1:10" x14ac:dyDescent="0.25">
      <c r="A207" s="5" t="str">
        <f>BASE_ARTICLE!A207</f>
        <v>ART-0206</v>
      </c>
      <c r="B207" s="5" t="str">
        <f>BASE_ARTICLE!B207</f>
        <v>T-shirt</v>
      </c>
      <c r="C207" s="5" t="s">
        <v>731</v>
      </c>
      <c r="D207" s="5" t="s">
        <v>712</v>
      </c>
      <c r="E207" s="5" t="s">
        <v>787</v>
      </c>
      <c r="F207" s="5" t="s">
        <v>734</v>
      </c>
      <c r="G207" s="5">
        <f>COUNT(BASE_ARTICLE!E207:BB207)</f>
        <v>4</v>
      </c>
      <c r="H207" s="5">
        <f>COUNT(BASE_ARTICLE!BC207:BV207)</f>
        <v>3</v>
      </c>
      <c r="I207" s="12">
        <f>SUM(BASE_ARTICLE!BC207:BV207)</f>
        <v>71.78</v>
      </c>
      <c r="J207" s="12">
        <f t="shared" si="3"/>
        <v>1.1963333333333332</v>
      </c>
    </row>
    <row r="208" spans="1:10" x14ac:dyDescent="0.25">
      <c r="A208" s="5" t="str">
        <f>BASE_ARTICLE!A208</f>
        <v>ART-0207</v>
      </c>
      <c r="B208" s="5" t="str">
        <f>BASE_ARTICLE!B208</f>
        <v>T-shirt</v>
      </c>
      <c r="C208" s="5" t="s">
        <v>731</v>
      </c>
      <c r="D208" s="5" t="s">
        <v>712</v>
      </c>
      <c r="E208" s="5" t="s">
        <v>787</v>
      </c>
      <c r="F208" s="5" t="s">
        <v>734</v>
      </c>
      <c r="G208" s="5">
        <f>COUNT(BASE_ARTICLE!E208:BB208)</f>
        <v>4</v>
      </c>
      <c r="H208" s="5">
        <f>COUNT(BASE_ARTICLE!BC208:BV208)</f>
        <v>3</v>
      </c>
      <c r="I208" s="12">
        <f>SUM(BASE_ARTICLE!BC208:BV208)</f>
        <v>118.55000000000001</v>
      </c>
      <c r="J208" s="12">
        <f t="shared" si="3"/>
        <v>1.9758333333333336</v>
      </c>
    </row>
    <row r="209" spans="1:10" x14ac:dyDescent="0.25">
      <c r="A209" s="5" t="str">
        <f>BASE_ARTICLE!A209</f>
        <v>ART-0208</v>
      </c>
      <c r="B209" s="5" t="str">
        <f>BASE_ARTICLE!B209</f>
        <v>T-shirt</v>
      </c>
      <c r="C209" s="5" t="s">
        <v>731</v>
      </c>
      <c r="D209" s="5" t="s">
        <v>712</v>
      </c>
      <c r="E209" s="5" t="s">
        <v>787</v>
      </c>
      <c r="F209" s="5" t="s">
        <v>734</v>
      </c>
      <c r="G209" s="5">
        <f>COUNT(BASE_ARTICLE!E209:BB209)</f>
        <v>4</v>
      </c>
      <c r="H209" s="5">
        <f>COUNT(BASE_ARTICLE!BC209:BV209)</f>
        <v>3</v>
      </c>
      <c r="I209" s="12">
        <f>SUM(BASE_ARTICLE!BC209:BV209)</f>
        <v>104.28</v>
      </c>
      <c r="J209" s="12">
        <f t="shared" si="3"/>
        <v>1.738</v>
      </c>
    </row>
    <row r="210" spans="1:10" x14ac:dyDescent="0.25">
      <c r="A210" s="5" t="str">
        <f>BASE_ARTICLE!A210</f>
        <v>ART-0209</v>
      </c>
      <c r="B210" s="5" t="str">
        <f>BASE_ARTICLE!B210</f>
        <v>T-shirt</v>
      </c>
      <c r="C210" s="5" t="s">
        <v>731</v>
      </c>
      <c r="D210" s="5" t="s">
        <v>712</v>
      </c>
      <c r="E210" s="5" t="s">
        <v>787</v>
      </c>
      <c r="F210" s="5" t="s">
        <v>734</v>
      </c>
      <c r="G210" s="5">
        <f>COUNT(BASE_ARTICLE!E210:BB210)</f>
        <v>4</v>
      </c>
      <c r="H210" s="5">
        <f>COUNT(BASE_ARTICLE!BC210:BV210)</f>
        <v>3</v>
      </c>
      <c r="I210" s="12">
        <f>SUM(BASE_ARTICLE!BC210:BV210)</f>
        <v>151.05000000000001</v>
      </c>
      <c r="J210" s="12">
        <f t="shared" si="3"/>
        <v>2.5175000000000001</v>
      </c>
    </row>
    <row r="211" spans="1:10" x14ac:dyDescent="0.25">
      <c r="A211" s="5" t="str">
        <f>BASE_ARTICLE!A211</f>
        <v>ART-0210</v>
      </c>
      <c r="B211" s="5" t="str">
        <f>BASE_ARTICLE!B211</f>
        <v>T-shirt</v>
      </c>
      <c r="C211" s="5" t="s">
        <v>731</v>
      </c>
      <c r="D211" s="5" t="s">
        <v>714</v>
      </c>
      <c r="E211" s="5" t="s">
        <v>787</v>
      </c>
      <c r="F211" s="5" t="s">
        <v>734</v>
      </c>
      <c r="G211" s="5">
        <f>COUNT(BASE_ARTICLE!E211:BB211)</f>
        <v>3</v>
      </c>
      <c r="H211" s="5">
        <f>COUNT(BASE_ARTICLE!BC211:BV211)</f>
        <v>3</v>
      </c>
      <c r="I211" s="12">
        <f>SUM(BASE_ARTICLE!BC211:BV211)</f>
        <v>56.5</v>
      </c>
      <c r="J211" s="12">
        <f t="shared" si="3"/>
        <v>0.94166666666666665</v>
      </c>
    </row>
    <row r="212" spans="1:10" x14ac:dyDescent="0.25">
      <c r="A212" s="5" t="str">
        <f>BASE_ARTICLE!A212</f>
        <v>ART-0211</v>
      </c>
      <c r="B212" s="5" t="str">
        <f>BASE_ARTICLE!B212</f>
        <v>T-shirt</v>
      </c>
      <c r="C212" s="5" t="s">
        <v>731</v>
      </c>
      <c r="D212" s="5" t="s">
        <v>714</v>
      </c>
      <c r="E212" s="5" t="s">
        <v>787</v>
      </c>
      <c r="F212" s="5" t="s">
        <v>734</v>
      </c>
      <c r="G212" s="5">
        <f>COUNT(BASE_ARTICLE!E212:BB212)</f>
        <v>3</v>
      </c>
      <c r="H212" s="5">
        <f>COUNT(BASE_ARTICLE!BC212:BV212)</f>
        <v>3</v>
      </c>
      <c r="I212" s="12">
        <f>SUM(BASE_ARTICLE!BC212:BV212)</f>
        <v>63</v>
      </c>
      <c r="J212" s="12">
        <f t="shared" si="3"/>
        <v>1.05</v>
      </c>
    </row>
    <row r="213" spans="1:10" x14ac:dyDescent="0.25">
      <c r="A213" s="5" t="str">
        <f>BASE_ARTICLE!A213</f>
        <v>ART-0212</v>
      </c>
      <c r="B213" s="5" t="str">
        <f>BASE_ARTICLE!B213</f>
        <v>T-shirt</v>
      </c>
      <c r="C213" s="5" t="s">
        <v>731</v>
      </c>
      <c r="D213" s="5" t="s">
        <v>714</v>
      </c>
      <c r="E213" s="5" t="s">
        <v>787</v>
      </c>
      <c r="F213" s="5" t="s">
        <v>734</v>
      </c>
      <c r="G213" s="5">
        <f>COUNT(BASE_ARTICLE!E213:BB213)</f>
        <v>3</v>
      </c>
      <c r="H213" s="5">
        <f>COUNT(BASE_ARTICLE!BC213:BV213)</f>
        <v>3</v>
      </c>
      <c r="I213" s="12">
        <f>SUM(BASE_ARTICLE!BC213:BV213)</f>
        <v>69.5</v>
      </c>
      <c r="J213" s="12">
        <f t="shared" si="3"/>
        <v>1.1583333333333334</v>
      </c>
    </row>
    <row r="214" spans="1:10" x14ac:dyDescent="0.25">
      <c r="A214" s="5" t="str">
        <f>BASE_ARTICLE!A214</f>
        <v>ART-0213</v>
      </c>
      <c r="B214" s="5" t="str">
        <f>BASE_ARTICLE!B214</f>
        <v>T-shirt</v>
      </c>
      <c r="C214" s="5" t="s">
        <v>731</v>
      </c>
      <c r="D214" s="5" t="s">
        <v>714</v>
      </c>
      <c r="E214" s="5" t="s">
        <v>787</v>
      </c>
      <c r="F214" s="5" t="s">
        <v>734</v>
      </c>
      <c r="G214" s="5">
        <f>COUNT(BASE_ARTICLE!E214:BB214)</f>
        <v>3</v>
      </c>
      <c r="H214" s="5">
        <f>COUNT(BASE_ARTICLE!BC214:BV214)</f>
        <v>3</v>
      </c>
      <c r="I214" s="12">
        <f>SUM(BASE_ARTICLE!BC214:BV214)</f>
        <v>61.5</v>
      </c>
      <c r="J214" s="12">
        <f t="shared" si="3"/>
        <v>1.0249999999999999</v>
      </c>
    </row>
    <row r="215" spans="1:10" x14ac:dyDescent="0.25">
      <c r="A215" s="5" t="str">
        <f>BASE_ARTICLE!A215</f>
        <v>ART-0214</v>
      </c>
      <c r="B215" s="5" t="str">
        <f>BASE_ARTICLE!B215</f>
        <v>T-shirt</v>
      </c>
      <c r="C215" s="5" t="s">
        <v>731</v>
      </c>
      <c r="D215" s="5" t="s">
        <v>714</v>
      </c>
      <c r="E215" s="5" t="s">
        <v>787</v>
      </c>
      <c r="F215" s="5" t="s">
        <v>734</v>
      </c>
      <c r="G215" s="5">
        <f>COUNT(BASE_ARTICLE!E215:BB215)</f>
        <v>3</v>
      </c>
      <c r="H215" s="5">
        <f>COUNT(BASE_ARTICLE!BC215:BV215)</f>
        <v>3</v>
      </c>
      <c r="I215" s="12">
        <f>SUM(BASE_ARTICLE!BC215:BV215)</f>
        <v>68</v>
      </c>
      <c r="J215" s="12">
        <f t="shared" si="3"/>
        <v>1.1333333333333333</v>
      </c>
    </row>
    <row r="216" spans="1:10" x14ac:dyDescent="0.25">
      <c r="A216" s="5" t="str">
        <f>BASE_ARTICLE!A216</f>
        <v>ART-0215</v>
      </c>
      <c r="B216" s="5" t="str">
        <f>BASE_ARTICLE!B216</f>
        <v>T-shirt</v>
      </c>
      <c r="C216" s="5" t="s">
        <v>731</v>
      </c>
      <c r="D216" s="5" t="s">
        <v>714</v>
      </c>
      <c r="E216" s="5" t="s">
        <v>787</v>
      </c>
      <c r="F216" s="5" t="s">
        <v>734</v>
      </c>
      <c r="G216" s="5">
        <f>COUNT(BASE_ARTICLE!E216:BB216)</f>
        <v>3</v>
      </c>
      <c r="H216" s="5">
        <f>COUNT(BASE_ARTICLE!BC216:BV216)</f>
        <v>3</v>
      </c>
      <c r="I216" s="12">
        <f>SUM(BASE_ARTICLE!BC216:BV216)</f>
        <v>74.5</v>
      </c>
      <c r="J216" s="12">
        <f t="shared" si="3"/>
        <v>1.2416666666666667</v>
      </c>
    </row>
    <row r="217" spans="1:10" x14ac:dyDescent="0.25">
      <c r="A217" s="5" t="str">
        <f>BASE_ARTICLE!A217</f>
        <v>ART-0216</v>
      </c>
      <c r="B217" s="5" t="str">
        <f>BASE_ARTICLE!B217</f>
        <v>T-shirt</v>
      </c>
      <c r="C217" s="5" t="s">
        <v>731</v>
      </c>
      <c r="D217" s="5" t="s">
        <v>716</v>
      </c>
      <c r="E217" s="5" t="s">
        <v>787</v>
      </c>
      <c r="F217" s="5" t="s">
        <v>734</v>
      </c>
      <c r="G217" s="5">
        <f>COUNT(BASE_ARTICLE!E217:BB217)</f>
        <v>3</v>
      </c>
      <c r="H217" s="5">
        <f>COUNT(BASE_ARTICLE!BC217:BV217)</f>
        <v>2</v>
      </c>
      <c r="I217" s="12">
        <f>SUM(BASE_ARTICLE!BC217:BV217)</f>
        <v>82.45</v>
      </c>
      <c r="J217" s="12">
        <f t="shared" si="3"/>
        <v>1.3741666666666668</v>
      </c>
    </row>
    <row r="218" spans="1:10" x14ac:dyDescent="0.25">
      <c r="A218" s="5" t="str">
        <f>BASE_ARTICLE!A218</f>
        <v>ART-0217</v>
      </c>
      <c r="B218" s="5" t="str">
        <f>BASE_ARTICLE!B218</f>
        <v>T-shirt</v>
      </c>
      <c r="C218" s="5" t="s">
        <v>731</v>
      </c>
      <c r="D218" s="5" t="s">
        <v>716</v>
      </c>
      <c r="E218" s="5" t="s">
        <v>787</v>
      </c>
      <c r="F218" s="5" t="s">
        <v>734</v>
      </c>
      <c r="G218" s="5">
        <f>COUNT(BASE_ARTICLE!E218:BB218)</f>
        <v>3</v>
      </c>
      <c r="H218" s="5">
        <f>COUNT(BASE_ARTICLE!BC218:BV218)</f>
        <v>2</v>
      </c>
      <c r="I218" s="12">
        <f>SUM(BASE_ARTICLE!BC218:BV218)</f>
        <v>104.91</v>
      </c>
      <c r="J218" s="12">
        <f t="shared" si="3"/>
        <v>1.7484999999999999</v>
      </c>
    </row>
    <row r="219" spans="1:10" x14ac:dyDescent="0.25">
      <c r="A219" s="5" t="str">
        <f>BASE_ARTICLE!A219</f>
        <v>ART-0218</v>
      </c>
      <c r="B219" s="5" t="str">
        <f>BASE_ARTICLE!B219</f>
        <v>T-shirt</v>
      </c>
      <c r="C219" s="5" t="s">
        <v>731</v>
      </c>
      <c r="D219" s="5" t="s">
        <v>716</v>
      </c>
      <c r="E219" s="5" t="s">
        <v>787</v>
      </c>
      <c r="F219" s="5" t="s">
        <v>734</v>
      </c>
      <c r="G219" s="5">
        <f>COUNT(BASE_ARTICLE!E219:BB219)</f>
        <v>3</v>
      </c>
      <c r="H219" s="5">
        <f>COUNT(BASE_ARTICLE!BC219:BV219)</f>
        <v>2</v>
      </c>
      <c r="I219" s="12">
        <f>SUM(BASE_ARTICLE!BC219:BV219)</f>
        <v>164.91</v>
      </c>
      <c r="J219" s="12">
        <f t="shared" si="3"/>
        <v>2.7484999999999999</v>
      </c>
    </row>
    <row r="220" spans="1:10" x14ac:dyDescent="0.25">
      <c r="A220" s="5" t="str">
        <f>BASE_ARTICLE!A220</f>
        <v>ART-0219</v>
      </c>
      <c r="B220" s="5" t="str">
        <f>BASE_ARTICLE!B220</f>
        <v>T-shirt</v>
      </c>
      <c r="C220" s="5" t="s">
        <v>731</v>
      </c>
      <c r="D220" s="5" t="s">
        <v>716</v>
      </c>
      <c r="E220" s="5" t="s">
        <v>787</v>
      </c>
      <c r="F220" s="5" t="s">
        <v>734</v>
      </c>
      <c r="G220" s="5">
        <f>COUNT(BASE_ARTICLE!E220:BB220)</f>
        <v>3</v>
      </c>
      <c r="H220" s="5">
        <f>COUNT(BASE_ARTICLE!BC220:BV220)</f>
        <v>2</v>
      </c>
      <c r="I220" s="12">
        <f>SUM(BASE_ARTICLE!BC220:BV220)</f>
        <v>209.81</v>
      </c>
      <c r="J220" s="12">
        <f t="shared" si="3"/>
        <v>3.4968333333333335</v>
      </c>
    </row>
    <row r="221" spans="1:10" x14ac:dyDescent="0.25">
      <c r="A221" s="5" t="str">
        <f>BASE_ARTICLE!A221</f>
        <v>ART-0220</v>
      </c>
      <c r="B221" s="5" t="str">
        <f>BASE_ARTICLE!B221</f>
        <v>Polo</v>
      </c>
      <c r="C221" s="5" t="s">
        <v>731</v>
      </c>
      <c r="D221" s="5" t="s">
        <v>712</v>
      </c>
      <c r="E221" s="5" t="s">
        <v>787</v>
      </c>
      <c r="F221" s="5" t="s">
        <v>734</v>
      </c>
      <c r="G221" s="5">
        <f>COUNT(BASE_ARTICLE!E221:BB221)</f>
        <v>4</v>
      </c>
      <c r="H221" s="5">
        <f>COUNT(BASE_ARTICLE!BC221:BV221)</f>
        <v>3</v>
      </c>
      <c r="I221" s="12">
        <f>SUM(BASE_ARTICLE!BC221:BV221)</f>
        <v>32.5</v>
      </c>
      <c r="J221" s="12">
        <f t="shared" si="3"/>
        <v>0.54166666666666663</v>
      </c>
    </row>
    <row r="222" spans="1:10" x14ac:dyDescent="0.25">
      <c r="A222" s="5" t="str">
        <f>BASE_ARTICLE!A222</f>
        <v>ART-0221</v>
      </c>
      <c r="B222" s="5" t="str">
        <f>BASE_ARTICLE!B222</f>
        <v>Polo</v>
      </c>
      <c r="C222" s="5" t="s">
        <v>731</v>
      </c>
      <c r="D222" s="5" t="s">
        <v>712</v>
      </c>
      <c r="E222" s="5" t="s">
        <v>787</v>
      </c>
      <c r="F222" s="5" t="s">
        <v>734</v>
      </c>
      <c r="G222" s="5">
        <f>COUNT(BASE_ARTICLE!E222:BB222)</f>
        <v>4</v>
      </c>
      <c r="H222" s="5">
        <f>COUNT(BASE_ARTICLE!BC222:BV222)</f>
        <v>3</v>
      </c>
      <c r="I222" s="12">
        <f>SUM(BASE_ARTICLE!BC222:BV222)</f>
        <v>104.28</v>
      </c>
      <c r="J222" s="12">
        <f t="shared" si="3"/>
        <v>1.738</v>
      </c>
    </row>
    <row r="223" spans="1:10" x14ac:dyDescent="0.25">
      <c r="A223" s="5" t="str">
        <f>BASE_ARTICLE!A223</f>
        <v>ART-0222</v>
      </c>
      <c r="B223" s="5" t="str">
        <f>BASE_ARTICLE!B223</f>
        <v>Polo</v>
      </c>
      <c r="C223" s="5" t="s">
        <v>731</v>
      </c>
      <c r="D223" s="5" t="s">
        <v>712</v>
      </c>
      <c r="E223" s="5" t="s">
        <v>787</v>
      </c>
      <c r="F223" s="5" t="s">
        <v>734</v>
      </c>
      <c r="G223" s="5">
        <f>COUNT(BASE_ARTICLE!E223:BB223)</f>
        <v>4</v>
      </c>
      <c r="H223" s="5">
        <f>COUNT(BASE_ARTICLE!BC223:BV223)</f>
        <v>3</v>
      </c>
      <c r="I223" s="12">
        <f>SUM(BASE_ARTICLE!BC223:BV223)</f>
        <v>151.05000000000001</v>
      </c>
      <c r="J223" s="12">
        <f t="shared" si="3"/>
        <v>2.5175000000000001</v>
      </c>
    </row>
    <row r="224" spans="1:10" x14ac:dyDescent="0.25">
      <c r="A224" s="5" t="str">
        <f>BASE_ARTICLE!A224</f>
        <v>ART-0223</v>
      </c>
      <c r="B224" s="5" t="str">
        <f>BASE_ARTICLE!B224</f>
        <v>Polo</v>
      </c>
      <c r="C224" s="5" t="s">
        <v>731</v>
      </c>
      <c r="D224" s="5" t="s">
        <v>714</v>
      </c>
      <c r="E224" s="5" t="s">
        <v>787</v>
      </c>
      <c r="F224" s="5" t="s">
        <v>734</v>
      </c>
      <c r="G224" s="5">
        <f>COUNT(BASE_ARTICLE!E224:BB224)</f>
        <v>3</v>
      </c>
      <c r="H224" s="5">
        <f>COUNT(BASE_ARTICLE!BC224:BV224)</f>
        <v>3</v>
      </c>
      <c r="I224" s="12">
        <f>SUM(BASE_ARTICLE!BC224:BV224)</f>
        <v>61.5</v>
      </c>
      <c r="J224" s="12">
        <f t="shared" si="3"/>
        <v>1.0249999999999999</v>
      </c>
    </row>
    <row r="225" spans="1:10" x14ac:dyDescent="0.25">
      <c r="A225" s="5" t="str">
        <f>BASE_ARTICLE!A225</f>
        <v>ART-0224</v>
      </c>
      <c r="B225" s="5" t="str">
        <f>BASE_ARTICLE!B225</f>
        <v>Polo</v>
      </c>
      <c r="C225" s="5" t="s">
        <v>731</v>
      </c>
      <c r="D225" s="5" t="s">
        <v>714</v>
      </c>
      <c r="E225" s="5" t="s">
        <v>787</v>
      </c>
      <c r="F225" s="5" t="s">
        <v>734</v>
      </c>
      <c r="G225" s="5">
        <f>COUNT(BASE_ARTICLE!E225:BB225)</f>
        <v>3</v>
      </c>
      <c r="H225" s="5">
        <f>COUNT(BASE_ARTICLE!BC225:BV225)</f>
        <v>3</v>
      </c>
      <c r="I225" s="12">
        <f>SUM(BASE_ARTICLE!BC225:BV225)</f>
        <v>68</v>
      </c>
      <c r="J225" s="12">
        <f t="shared" si="3"/>
        <v>1.1333333333333333</v>
      </c>
    </row>
    <row r="226" spans="1:10" x14ac:dyDescent="0.25">
      <c r="A226" s="5" t="str">
        <f>BASE_ARTICLE!A226</f>
        <v>ART-0225</v>
      </c>
      <c r="B226" s="5" t="str">
        <f>BASE_ARTICLE!B226</f>
        <v>Casquette</v>
      </c>
      <c r="C226" s="5" t="s">
        <v>731</v>
      </c>
      <c r="D226" s="5" t="s">
        <v>712</v>
      </c>
      <c r="E226" s="5" t="s">
        <v>788</v>
      </c>
      <c r="F226" s="5" t="s">
        <v>734</v>
      </c>
      <c r="G226" s="5">
        <f>COUNT(BASE_ARTICLE!E226:BB226)</f>
        <v>4</v>
      </c>
      <c r="H226" s="5">
        <f>COUNT(BASE_ARTICLE!BC226:BV226)</f>
        <v>3</v>
      </c>
      <c r="I226" s="12">
        <f>SUM(BASE_ARTICLE!BC226:BV226)</f>
        <v>39.5</v>
      </c>
      <c r="J226" s="12">
        <f t="shared" si="3"/>
        <v>0.65833333333333333</v>
      </c>
    </row>
    <row r="227" spans="1:10" x14ac:dyDescent="0.25">
      <c r="A227" s="5" t="str">
        <f>BASE_ARTICLE!A227</f>
        <v>ART-0226</v>
      </c>
      <c r="B227" s="5" t="str">
        <f>BASE_ARTICLE!B227</f>
        <v>Casquette</v>
      </c>
      <c r="C227" s="5" t="s">
        <v>731</v>
      </c>
      <c r="D227" s="5" t="s">
        <v>712</v>
      </c>
      <c r="E227" s="5" t="s">
        <v>788</v>
      </c>
      <c r="F227" s="5" t="s">
        <v>734</v>
      </c>
      <c r="G227" s="5">
        <f>COUNT(BASE_ARTICLE!E227:BB227)</f>
        <v>4</v>
      </c>
      <c r="H227" s="5">
        <f>COUNT(BASE_ARTICLE!BC227:BV227)</f>
        <v>3</v>
      </c>
      <c r="I227" s="12">
        <f>SUM(BASE_ARTICLE!BC227:BV227)</f>
        <v>112.5</v>
      </c>
      <c r="J227" s="12">
        <f t="shared" si="3"/>
        <v>1.875</v>
      </c>
    </row>
    <row r="228" spans="1:10" x14ac:dyDescent="0.25">
      <c r="A228" s="5" t="str">
        <f>BASE_ARTICLE!A228</f>
        <v>ART-0227</v>
      </c>
      <c r="B228" s="5" t="str">
        <f>BASE_ARTICLE!B228</f>
        <v>Mug</v>
      </c>
      <c r="C228" s="5" t="s">
        <v>731</v>
      </c>
      <c r="D228" s="5" t="s">
        <v>716</v>
      </c>
      <c r="E228" s="5" t="s">
        <v>789</v>
      </c>
      <c r="F228" s="5" t="s">
        <v>734</v>
      </c>
      <c r="G228" s="5">
        <f>COUNT(BASE_ARTICLE!E228:BB228)</f>
        <v>3</v>
      </c>
      <c r="H228" s="5">
        <f>COUNT(BASE_ARTICLE!BC228:BV228)</f>
        <v>2</v>
      </c>
      <c r="I228" s="12">
        <f>SUM(BASE_ARTICLE!BC228:BV228)</f>
        <v>212.59</v>
      </c>
      <c r="J228" s="12">
        <f t="shared" si="3"/>
        <v>3.5431666666666666</v>
      </c>
    </row>
    <row r="229" spans="1:10" x14ac:dyDescent="0.25">
      <c r="A229" s="5" t="str">
        <f>BASE_ARTICLE!A229</f>
        <v>ART-0228</v>
      </c>
      <c r="B229" s="5" t="str">
        <f>BASE_ARTICLE!B229</f>
        <v>Mug</v>
      </c>
      <c r="C229" s="5" t="s">
        <v>731</v>
      </c>
      <c r="D229" s="5" t="s">
        <v>716</v>
      </c>
      <c r="E229" s="5" t="s">
        <v>789</v>
      </c>
      <c r="F229" s="5" t="s">
        <v>734</v>
      </c>
      <c r="G229" s="5">
        <f>COUNT(BASE_ARTICLE!E229:BB229)</f>
        <v>3</v>
      </c>
      <c r="H229" s="5">
        <f>COUNT(BASE_ARTICLE!BC229:BV229)</f>
        <v>2</v>
      </c>
      <c r="I229" s="12">
        <f>SUM(BASE_ARTICLE!BC229:BV229)</f>
        <v>215.18</v>
      </c>
      <c r="J229" s="12">
        <f t="shared" si="3"/>
        <v>3.5863333333333336</v>
      </c>
    </row>
    <row r="230" spans="1:10" x14ac:dyDescent="0.25">
      <c r="A230" s="5" t="str">
        <f>BASE_ARTICLE!A230</f>
        <v>ART-0229</v>
      </c>
      <c r="B230" s="5" t="str">
        <f>BASE_ARTICLE!B230</f>
        <v>Mug</v>
      </c>
      <c r="C230" s="5" t="s">
        <v>731</v>
      </c>
      <c r="D230" s="5" t="s">
        <v>716</v>
      </c>
      <c r="E230" s="5" t="s">
        <v>789</v>
      </c>
      <c r="F230" s="5" t="s">
        <v>734</v>
      </c>
      <c r="G230" s="5">
        <f>COUNT(BASE_ARTICLE!E230:BB230)</f>
        <v>3</v>
      </c>
      <c r="H230" s="5">
        <f>COUNT(BASE_ARTICLE!BC230:BV230)</f>
        <v>2</v>
      </c>
      <c r="I230" s="12">
        <f>SUM(BASE_ARTICLE!BC230:BV230)</f>
        <v>216.84</v>
      </c>
      <c r="J230" s="12">
        <f t="shared" si="3"/>
        <v>3.6139999999999999</v>
      </c>
    </row>
    <row r="231" spans="1:10" x14ac:dyDescent="0.25">
      <c r="A231" s="5" t="str">
        <f>BASE_ARTICLE!A231</f>
        <v>ART-0230</v>
      </c>
      <c r="B231" s="5" t="str">
        <f>BASE_ARTICLE!B231</f>
        <v>Gourde</v>
      </c>
      <c r="C231" s="5" t="s">
        <v>731</v>
      </c>
      <c r="D231" s="5" t="s">
        <v>716</v>
      </c>
      <c r="E231" s="5" t="s">
        <v>790</v>
      </c>
      <c r="F231" s="5" t="s">
        <v>734</v>
      </c>
      <c r="G231" s="5">
        <f>COUNT(BASE_ARTICLE!E231:BB231)</f>
        <v>3</v>
      </c>
      <c r="H231" s="5">
        <f>COUNT(BASE_ARTICLE!BC231:BV231)</f>
        <v>2</v>
      </c>
      <c r="I231" s="12">
        <f>SUM(BASE_ARTICLE!BC231:BV231)</f>
        <v>243.46</v>
      </c>
      <c r="J231" s="12">
        <f t="shared" si="3"/>
        <v>4.057666666666667</v>
      </c>
    </row>
    <row r="232" spans="1:10" x14ac:dyDescent="0.25">
      <c r="A232" s="5" t="str">
        <f>BASE_ARTICLE!A232</f>
        <v>ART-0231</v>
      </c>
      <c r="B232" s="5" t="str">
        <f>BASE_ARTICLE!B232</f>
        <v>Gourde</v>
      </c>
      <c r="C232" s="5" t="s">
        <v>731</v>
      </c>
      <c r="D232" s="5" t="s">
        <v>716</v>
      </c>
      <c r="E232" s="5" t="s">
        <v>790</v>
      </c>
      <c r="F232" s="5" t="s">
        <v>734</v>
      </c>
      <c r="G232" s="5">
        <f>COUNT(BASE_ARTICLE!E232:BB232)</f>
        <v>3</v>
      </c>
      <c r="H232" s="5">
        <f>COUNT(BASE_ARTICLE!BC232:BV232)</f>
        <v>2</v>
      </c>
      <c r="I232" s="12">
        <f>SUM(BASE_ARTICLE!BC232:BV232)</f>
        <v>246.91</v>
      </c>
      <c r="J232" s="12">
        <f t="shared" si="3"/>
        <v>4.1151666666666662</v>
      </c>
    </row>
    <row r="233" spans="1:10" x14ac:dyDescent="0.25">
      <c r="A233" s="5" t="str">
        <f>BASE_ARTICLE!A233</f>
        <v>ART-0232</v>
      </c>
      <c r="B233" s="5" t="str">
        <f>BASE_ARTICLE!B233</f>
        <v>Gourde</v>
      </c>
      <c r="C233" s="5" t="s">
        <v>731</v>
      </c>
      <c r="D233" s="5" t="s">
        <v>716</v>
      </c>
      <c r="E233" s="5" t="s">
        <v>790</v>
      </c>
      <c r="F233" s="5" t="s">
        <v>734</v>
      </c>
      <c r="G233" s="5">
        <f>COUNT(BASE_ARTICLE!E233:BB233)</f>
        <v>3</v>
      </c>
      <c r="H233" s="5">
        <f>COUNT(BASE_ARTICLE!BC233:BV233)</f>
        <v>2</v>
      </c>
      <c r="I233" s="12">
        <f>SUM(BASE_ARTICLE!BC233:BV233)</f>
        <v>251.34</v>
      </c>
      <c r="J233" s="12">
        <f t="shared" si="3"/>
        <v>4.1890000000000001</v>
      </c>
    </row>
    <row r="234" spans="1:10" x14ac:dyDescent="0.25">
      <c r="A234" s="5" t="str">
        <f>BASE_ARTICLE!A234</f>
        <v>ART-0233</v>
      </c>
      <c r="B234" s="5" t="str">
        <f>BASE_ARTICLE!B234</f>
        <v>Stylo</v>
      </c>
      <c r="C234" s="5" t="s">
        <v>731</v>
      </c>
      <c r="D234" s="5" t="s">
        <v>791</v>
      </c>
      <c r="E234" s="5" t="s">
        <v>792</v>
      </c>
      <c r="F234" s="5" t="s">
        <v>793</v>
      </c>
      <c r="G234" s="5">
        <f>COUNT(BASE_ARTICLE!E234:BB234)</f>
        <v>1</v>
      </c>
      <c r="H234" s="5">
        <f>COUNT(BASE_ARTICLE!BC234:BV234)</f>
        <v>0</v>
      </c>
      <c r="I234" s="12">
        <f>SUM(BASE_ARTICLE!BC234:BV234)</f>
        <v>0</v>
      </c>
      <c r="J234" s="12">
        <f t="shared" si="3"/>
        <v>0</v>
      </c>
    </row>
    <row r="235" spans="1:10" x14ac:dyDescent="0.25">
      <c r="A235" s="5" t="str">
        <f>BASE_ARTICLE!A235</f>
        <v>ART-0234</v>
      </c>
      <c r="B235" s="5" t="str">
        <f>BASE_ARTICLE!B235</f>
        <v>Stylo</v>
      </c>
      <c r="C235" s="5" t="s">
        <v>731</v>
      </c>
      <c r="D235" s="5" t="s">
        <v>714</v>
      </c>
      <c r="E235" s="5" t="s">
        <v>792</v>
      </c>
      <c r="F235" s="5" t="s">
        <v>734</v>
      </c>
      <c r="G235" s="5">
        <f>COUNT(BASE_ARTICLE!E235:BB235)</f>
        <v>3</v>
      </c>
      <c r="H235" s="5">
        <f>COUNT(BASE_ARTICLE!BC235:BV235)</f>
        <v>2</v>
      </c>
      <c r="I235" s="12">
        <f>SUM(BASE_ARTICLE!BC235:BV235)</f>
        <v>11.3</v>
      </c>
      <c r="J235" s="12">
        <f t="shared" si="3"/>
        <v>0.18833333333333335</v>
      </c>
    </row>
    <row r="236" spans="1:10" x14ac:dyDescent="0.25">
      <c r="A236" s="5" t="str">
        <f>BASE_ARTICLE!A236</f>
        <v>ART-0235</v>
      </c>
      <c r="B236" s="5" t="str">
        <f>BASE_ARTICLE!B236</f>
        <v>Bracelet</v>
      </c>
      <c r="C236" s="5" t="s">
        <v>731</v>
      </c>
      <c r="D236" s="5" t="s">
        <v>714</v>
      </c>
      <c r="E236" s="5" t="s">
        <v>794</v>
      </c>
      <c r="F236" s="5" t="s">
        <v>734</v>
      </c>
      <c r="G236" s="5">
        <f>COUNT(BASE_ARTICLE!E236:BB236)</f>
        <v>3</v>
      </c>
      <c r="H236" s="5">
        <f>COUNT(BASE_ARTICLE!BC236:BV236)</f>
        <v>3</v>
      </c>
      <c r="I236" s="12">
        <f>SUM(BASE_ARTICLE!BC236:BV236)</f>
        <v>33.299999999999997</v>
      </c>
      <c r="J236" s="12">
        <f t="shared" si="3"/>
        <v>0.55499999999999994</v>
      </c>
    </row>
    <row r="237" spans="1:10" x14ac:dyDescent="0.25">
      <c r="A237" s="5" t="str">
        <f>BASE_ARTICLE!A237</f>
        <v>ART-0236</v>
      </c>
      <c r="B237" s="5" t="str">
        <f>BASE_ARTICLE!B237</f>
        <v>Bracelet</v>
      </c>
      <c r="C237" s="5" t="s">
        <v>731</v>
      </c>
      <c r="D237" s="5" t="s">
        <v>714</v>
      </c>
      <c r="E237" s="5" t="s">
        <v>794</v>
      </c>
      <c r="F237" s="5" t="s">
        <v>734</v>
      </c>
      <c r="G237" s="5">
        <f>COUNT(BASE_ARTICLE!E237:BB237)</f>
        <v>3</v>
      </c>
      <c r="H237" s="5">
        <f>COUNT(BASE_ARTICLE!BC237:BV237)</f>
        <v>3</v>
      </c>
      <c r="I237" s="12">
        <f>SUM(BASE_ARTICLE!BC237:BV237)</f>
        <v>38.6</v>
      </c>
      <c r="J237" s="12">
        <f t="shared" si="3"/>
        <v>0.64333333333333331</v>
      </c>
    </row>
    <row r="238" spans="1:10" x14ac:dyDescent="0.25">
      <c r="A238" s="5" t="str">
        <f>BASE_ARTICLE!A238</f>
        <v>ART-0237</v>
      </c>
      <c r="B238" s="5" t="str">
        <f>BASE_ARTICLE!B238</f>
        <v>Sac</v>
      </c>
      <c r="C238" s="5" t="s">
        <v>731</v>
      </c>
      <c r="D238" s="5" t="s">
        <v>712</v>
      </c>
      <c r="E238" s="5" t="s">
        <v>795</v>
      </c>
      <c r="F238" s="5" t="s">
        <v>734</v>
      </c>
      <c r="G238" s="5">
        <f>COUNT(BASE_ARTICLE!E238:BB238)</f>
        <v>4</v>
      </c>
      <c r="H238" s="5">
        <f>COUNT(BASE_ARTICLE!BC238:BV238)</f>
        <v>3</v>
      </c>
      <c r="I238" s="12">
        <f>SUM(BASE_ARTICLE!BC238:BV238)</f>
        <v>71.78</v>
      </c>
      <c r="J238" s="12">
        <f t="shared" si="3"/>
        <v>1.1963333333333332</v>
      </c>
    </row>
    <row r="239" spans="1:10" x14ac:dyDescent="0.25">
      <c r="A239" s="5" t="str">
        <f>BASE_ARTICLE!A239</f>
        <v>ART-0238</v>
      </c>
      <c r="B239" s="5" t="str">
        <f>BASE_ARTICLE!B239</f>
        <v>Sac</v>
      </c>
      <c r="C239" s="5" t="s">
        <v>731</v>
      </c>
      <c r="D239" s="5" t="s">
        <v>712</v>
      </c>
      <c r="E239" s="5" t="s">
        <v>795</v>
      </c>
      <c r="F239" s="5" t="s">
        <v>734</v>
      </c>
      <c r="G239" s="5">
        <f>COUNT(BASE_ARTICLE!E239:BB239)</f>
        <v>4</v>
      </c>
      <c r="H239" s="5">
        <f>COUNT(BASE_ARTICLE!BC239:BV239)</f>
        <v>3</v>
      </c>
      <c r="I239" s="12">
        <f>SUM(BASE_ARTICLE!BC239:BV239)</f>
        <v>118.55000000000001</v>
      </c>
      <c r="J239" s="12">
        <f t="shared" si="3"/>
        <v>1.9758333333333336</v>
      </c>
    </row>
    <row r="240" spans="1:10" x14ac:dyDescent="0.25">
      <c r="A240" s="5" t="str">
        <f>BASE_ARTICLE!A240</f>
        <v>ART-0239</v>
      </c>
      <c r="B240" s="5" t="str">
        <f>BASE_ARTICLE!B240</f>
        <v>Sac</v>
      </c>
      <c r="C240" s="5" t="s">
        <v>731</v>
      </c>
      <c r="D240" s="5" t="s">
        <v>714</v>
      </c>
      <c r="E240" s="5" t="s">
        <v>795</v>
      </c>
      <c r="F240" s="5" t="s">
        <v>734</v>
      </c>
      <c r="G240" s="5">
        <f>COUNT(BASE_ARTICLE!E240:BB240)</f>
        <v>3</v>
      </c>
      <c r="H240" s="5">
        <f>COUNT(BASE_ARTICLE!BC240:BV240)</f>
        <v>3</v>
      </c>
      <c r="I240" s="12">
        <f>SUM(BASE_ARTICLE!BC240:BV240)</f>
        <v>56.5</v>
      </c>
      <c r="J240" s="12">
        <f t="shared" si="3"/>
        <v>0.94166666666666665</v>
      </c>
    </row>
    <row r="241" spans="1:10" x14ac:dyDescent="0.25">
      <c r="A241" s="5" t="str">
        <f>BASE_ARTICLE!A241</f>
        <v>ART-0240</v>
      </c>
      <c r="B241" s="5" t="str">
        <f>BASE_ARTICLE!B241</f>
        <v>Sac</v>
      </c>
      <c r="C241" s="5" t="s">
        <v>731</v>
      </c>
      <c r="D241" s="5" t="s">
        <v>714</v>
      </c>
      <c r="E241" s="5" t="s">
        <v>795</v>
      </c>
      <c r="F241" s="5" t="s">
        <v>734</v>
      </c>
      <c r="G241" s="5">
        <f>COUNT(BASE_ARTICLE!E241:BB241)</f>
        <v>3</v>
      </c>
      <c r="H241" s="5">
        <f>COUNT(BASE_ARTICLE!BC241:BV241)</f>
        <v>3</v>
      </c>
      <c r="I241" s="12">
        <f>SUM(BASE_ARTICLE!BC241:BV241)</f>
        <v>63</v>
      </c>
      <c r="J241" s="12">
        <f t="shared" si="3"/>
        <v>1.05</v>
      </c>
    </row>
    <row r="242" spans="1:10" x14ac:dyDescent="0.25">
      <c r="A242" s="5" t="str">
        <f>BASE_ARTICLE!A242</f>
        <v>ART-0241</v>
      </c>
      <c r="B242" s="5" t="str">
        <f>BASE_ARTICLE!B242</f>
        <v>Sac</v>
      </c>
      <c r="C242" s="5" t="s">
        <v>731</v>
      </c>
      <c r="D242" s="5" t="s">
        <v>714</v>
      </c>
      <c r="E242" s="5" t="s">
        <v>795</v>
      </c>
      <c r="F242" s="5" t="s">
        <v>734</v>
      </c>
      <c r="G242" s="5">
        <f>COUNT(BASE_ARTICLE!E242:BB242)</f>
        <v>3</v>
      </c>
      <c r="H242" s="5">
        <f>COUNT(BASE_ARTICLE!BC242:BV242)</f>
        <v>3</v>
      </c>
      <c r="I242" s="12">
        <f>SUM(BASE_ARTICLE!BC242:BV242)</f>
        <v>69.5</v>
      </c>
      <c r="J242" s="12">
        <f t="shared" si="3"/>
        <v>1.1583333333333334</v>
      </c>
    </row>
    <row r="243" spans="1:10" x14ac:dyDescent="0.25">
      <c r="A243" s="5" t="str">
        <f>BASE_ARTICLE!A243</f>
        <v>ART-0242</v>
      </c>
      <c r="B243" s="5" t="str">
        <f>BASE_ARTICLE!B243</f>
        <v>Porte-clés</v>
      </c>
      <c r="C243" s="5" t="s">
        <v>731</v>
      </c>
      <c r="D243" s="5" t="s">
        <v>712</v>
      </c>
      <c r="E243" s="5" t="s">
        <v>796</v>
      </c>
      <c r="F243" s="5" t="s">
        <v>734</v>
      </c>
      <c r="G243" s="5">
        <f>COUNT(BASE_ARTICLE!E243:BB243)</f>
        <v>4</v>
      </c>
      <c r="H243" s="5">
        <f>COUNT(BASE_ARTICLE!BC243:BV243)</f>
        <v>3</v>
      </c>
      <c r="I243" s="12">
        <f>SUM(BASE_ARTICLE!BC243:BV243)</f>
        <v>20.9</v>
      </c>
      <c r="J243" s="12">
        <f t="shared" si="3"/>
        <v>0.34833333333333333</v>
      </c>
    </row>
    <row r="244" spans="1:10" x14ac:dyDescent="0.25">
      <c r="A244" s="5" t="str">
        <f>BASE_ARTICLE!A244</f>
        <v>ART-0243</v>
      </c>
      <c r="B244" s="5" t="str">
        <f>BASE_ARTICLE!B244</f>
        <v>Protège-carnet</v>
      </c>
      <c r="C244" s="5" t="s">
        <v>731</v>
      </c>
      <c r="D244" s="5" t="s">
        <v>712</v>
      </c>
      <c r="E244" s="5" t="s">
        <v>797</v>
      </c>
      <c r="F244" s="5" t="s">
        <v>734</v>
      </c>
      <c r="G244" s="5">
        <f>COUNT(BASE_ARTICLE!E244:BB244)</f>
        <v>4</v>
      </c>
      <c r="H244" s="5">
        <f>COUNT(BASE_ARTICLE!BC244:BV244)</f>
        <v>3</v>
      </c>
      <c r="I244" s="12">
        <f>SUM(BASE_ARTICLE!BC244:BV244)</f>
        <v>27.7</v>
      </c>
      <c r="J244" s="12">
        <f t="shared" si="3"/>
        <v>0.46166666666666667</v>
      </c>
    </row>
    <row r="245" spans="1:10" x14ac:dyDescent="0.25">
      <c r="A245" s="5" t="str">
        <f>BASE_ARTICLE!A245</f>
        <v>ART-0244</v>
      </c>
      <c r="B245" s="5" t="str">
        <f>BASE_ARTICLE!B245</f>
        <v>Sticker</v>
      </c>
      <c r="C245" s="5" t="s">
        <v>731</v>
      </c>
      <c r="D245" s="5" t="s">
        <v>798</v>
      </c>
      <c r="E245" s="5" t="s">
        <v>799</v>
      </c>
      <c r="F245" s="5" t="s">
        <v>734</v>
      </c>
      <c r="G245" s="5">
        <f>COUNT(BASE_ARTICLE!E245:BB245)</f>
        <v>2</v>
      </c>
      <c r="H245" s="5">
        <f>COUNT(BASE_ARTICLE!BC245:BV245)</f>
        <v>2</v>
      </c>
      <c r="I245" s="12">
        <f>SUM(BASE_ARTICLE!BC245:BV245)</f>
        <v>1.33</v>
      </c>
      <c r="J245" s="12">
        <f t="shared" si="3"/>
        <v>2.2166666666666668E-2</v>
      </c>
    </row>
    <row r="246" spans="1:10" x14ac:dyDescent="0.25">
      <c r="A246" s="5" t="str">
        <f>BASE_ARTICLE!A246</f>
        <v>ART-0245</v>
      </c>
      <c r="B246" s="5" t="str">
        <f>BASE_ARTICLE!B246</f>
        <v>Sticker</v>
      </c>
      <c r="C246" s="5" t="s">
        <v>731</v>
      </c>
      <c r="D246" s="5" t="s">
        <v>798</v>
      </c>
      <c r="E246" s="5" t="s">
        <v>800</v>
      </c>
      <c r="F246" s="5" t="s">
        <v>734</v>
      </c>
      <c r="G246" s="5">
        <f>COUNT(BASE_ARTICLE!E246:BB246)</f>
        <v>2</v>
      </c>
      <c r="H246" s="5">
        <f>COUNT(BASE_ARTICLE!BC246:BV246)</f>
        <v>2</v>
      </c>
      <c r="I246" s="12">
        <f>SUM(BASE_ARTICLE!BC246:BV246)</f>
        <v>5.34</v>
      </c>
      <c r="J246" s="12">
        <f t="shared" si="3"/>
        <v>8.8999999999999996E-2</v>
      </c>
    </row>
    <row r="247" spans="1:10" x14ac:dyDescent="0.25">
      <c r="A247" s="5" t="str">
        <f>BASE_ARTICLE!A247</f>
        <v>ART-0246</v>
      </c>
      <c r="B247" s="5" t="str">
        <f>BASE_ARTICLE!B247</f>
        <v>Sticker</v>
      </c>
      <c r="C247" s="5" t="s">
        <v>731</v>
      </c>
      <c r="D247" s="5" t="s">
        <v>798</v>
      </c>
      <c r="E247" s="5" t="s">
        <v>735</v>
      </c>
      <c r="F247" s="5" t="s">
        <v>734</v>
      </c>
      <c r="G247" s="5">
        <f>COUNT(BASE_ARTICLE!E247:BB247)</f>
        <v>2</v>
      </c>
      <c r="H247" s="5">
        <f>COUNT(BASE_ARTICLE!BC247:BV247)</f>
        <v>2</v>
      </c>
      <c r="I247" s="12">
        <f>SUM(BASE_ARTICLE!BC247:BV247)</f>
        <v>8.01</v>
      </c>
      <c r="J247" s="12">
        <f t="shared" si="3"/>
        <v>0.13350000000000001</v>
      </c>
    </row>
    <row r="248" spans="1:10" x14ac:dyDescent="0.25">
      <c r="A248" s="5" t="str">
        <f>BASE_ARTICLE!A248</f>
        <v>ART-0247</v>
      </c>
      <c r="B248" s="5" t="str">
        <f>BASE_ARTICLE!B248</f>
        <v>Sticker</v>
      </c>
      <c r="C248" s="5" t="s">
        <v>731</v>
      </c>
      <c r="D248" s="5" t="s">
        <v>798</v>
      </c>
      <c r="E248" s="5" t="s">
        <v>737</v>
      </c>
      <c r="F248" s="5" t="s">
        <v>734</v>
      </c>
      <c r="G248" s="5">
        <f>COUNT(BASE_ARTICLE!E248:BB248)</f>
        <v>2</v>
      </c>
      <c r="H248" s="5">
        <f>COUNT(BASE_ARTICLE!BC248:BV248)</f>
        <v>2</v>
      </c>
      <c r="I248" s="12">
        <f>SUM(BASE_ARTICLE!BC248:BV248)</f>
        <v>32.03</v>
      </c>
      <c r="J248" s="12">
        <f t="shared" si="3"/>
        <v>0.53383333333333338</v>
      </c>
    </row>
    <row r="249" spans="1:10" x14ac:dyDescent="0.25">
      <c r="A249" s="5" t="str">
        <f>BASE_ARTICLE!A249</f>
        <v>ART-0248</v>
      </c>
      <c r="B249" s="5" t="str">
        <f>BASE_ARTICLE!B249</f>
        <v>Étiquette</v>
      </c>
      <c r="C249" s="5" t="s">
        <v>731</v>
      </c>
      <c r="D249" s="5" t="s">
        <v>798</v>
      </c>
      <c r="E249" s="5" t="s">
        <v>801</v>
      </c>
      <c r="F249" s="5" t="s">
        <v>734</v>
      </c>
      <c r="G249" s="5">
        <f>COUNT(BASE_ARTICLE!E249:BB249)</f>
        <v>3</v>
      </c>
      <c r="H249" s="5">
        <f>COUNT(BASE_ARTICLE!BC249:BV249)</f>
        <v>3</v>
      </c>
      <c r="I249" s="12">
        <f>SUM(BASE_ARTICLE!BC249:BV249)</f>
        <v>0.96</v>
      </c>
      <c r="J249" s="12">
        <f t="shared" si="3"/>
        <v>1.6E-2</v>
      </c>
    </row>
    <row r="250" spans="1:10" x14ac:dyDescent="0.25">
      <c r="A250" s="5" t="str">
        <f>BASE_ARTICLE!A250</f>
        <v>ART-0249</v>
      </c>
      <c r="B250" s="5" t="str">
        <f>BASE_ARTICLE!B250</f>
        <v>Étiquette</v>
      </c>
      <c r="C250" s="5" t="s">
        <v>731</v>
      </c>
      <c r="D250" s="5" t="s">
        <v>798</v>
      </c>
      <c r="E250" s="5" t="s">
        <v>802</v>
      </c>
      <c r="F250" s="5" t="s">
        <v>734</v>
      </c>
      <c r="G250" s="5">
        <f>COUNT(BASE_ARTICLE!E250:BB250)</f>
        <v>3</v>
      </c>
      <c r="H250" s="5">
        <f>COUNT(BASE_ARTICLE!BC250:BV250)</f>
        <v>3</v>
      </c>
      <c r="I250" s="12">
        <f>SUM(BASE_ARTICLE!BC250:BV250)</f>
        <v>0.84000000000000008</v>
      </c>
      <c r="J250" s="12">
        <f t="shared" si="3"/>
        <v>1.4000000000000002E-2</v>
      </c>
    </row>
    <row r="251" spans="1:10" x14ac:dyDescent="0.25">
      <c r="A251" s="5" t="str">
        <f>BASE_ARTICLE!A251</f>
        <v>ART-0250</v>
      </c>
      <c r="B251" s="5" t="str">
        <f>BASE_ARTICLE!B251</f>
        <v>Étiquette</v>
      </c>
      <c r="C251" s="5" t="s">
        <v>731</v>
      </c>
      <c r="D251" s="5" t="s">
        <v>798</v>
      </c>
      <c r="E251" s="5" t="s">
        <v>803</v>
      </c>
      <c r="F251" s="5" t="s">
        <v>734</v>
      </c>
      <c r="G251" s="5">
        <f>COUNT(BASE_ARTICLE!E251:BB251)</f>
        <v>3</v>
      </c>
      <c r="H251" s="5">
        <f>COUNT(BASE_ARTICLE!BC251:BV251)</f>
        <v>3</v>
      </c>
      <c r="I251" s="12">
        <f>SUM(BASE_ARTICLE!BC251:BV251)</f>
        <v>4.1899999999999995</v>
      </c>
      <c r="J251" s="12">
        <f t="shared" si="3"/>
        <v>6.9833333333333331E-2</v>
      </c>
    </row>
    <row r="252" spans="1:10" x14ac:dyDescent="0.25">
      <c r="A252" s="5" t="str">
        <f>BASE_ARTICLE!A252</f>
        <v>ART-0251</v>
      </c>
      <c r="B252" s="5" t="str">
        <f>BASE_ARTICLE!B252</f>
        <v>Étiquette</v>
      </c>
      <c r="C252" s="5" t="s">
        <v>731</v>
      </c>
      <c r="D252" s="5" t="s">
        <v>798</v>
      </c>
      <c r="E252" s="5" t="s">
        <v>804</v>
      </c>
      <c r="F252" s="5" t="s">
        <v>734</v>
      </c>
      <c r="G252" s="5">
        <f>COUNT(BASE_ARTICLE!E252:BB252)</f>
        <v>3</v>
      </c>
      <c r="H252" s="5">
        <f>COUNT(BASE_ARTICLE!BC252:BV252)</f>
        <v>3</v>
      </c>
      <c r="I252" s="12">
        <f>SUM(BASE_ARTICLE!BC252:BV252)</f>
        <v>8.36</v>
      </c>
      <c r="J252" s="12">
        <f t="shared" si="3"/>
        <v>0.13933333333333334</v>
      </c>
    </row>
    <row r="253" spans="1:10" x14ac:dyDescent="0.25">
      <c r="A253" s="5" t="str">
        <f>BASE_ARTICLE!A253</f>
        <v>ART-0252</v>
      </c>
      <c r="B253" s="5" t="str">
        <f>BASE_ARTICLE!B253</f>
        <v>Étiquette</v>
      </c>
      <c r="C253" s="5" t="s">
        <v>731</v>
      </c>
      <c r="D253" s="5" t="s">
        <v>798</v>
      </c>
      <c r="E253" s="5" t="s">
        <v>805</v>
      </c>
      <c r="F253" s="5" t="s">
        <v>734</v>
      </c>
      <c r="G253" s="5">
        <f>COUNT(BASE_ARTICLE!E253:BB253)</f>
        <v>3</v>
      </c>
      <c r="H253" s="5">
        <f>COUNT(BASE_ARTICLE!BC253:BV253)</f>
        <v>3</v>
      </c>
      <c r="I253" s="12">
        <f>SUM(BASE_ARTICLE!BC253:BV253)</f>
        <v>8.36</v>
      </c>
      <c r="J253" s="12">
        <f t="shared" si="3"/>
        <v>0.13933333333333334</v>
      </c>
    </row>
    <row r="254" spans="1:10" x14ac:dyDescent="0.25">
      <c r="A254" s="5" t="str">
        <f>BASE_ARTICLE!A254</f>
        <v>ART-0253</v>
      </c>
      <c r="B254" s="5" t="str">
        <f>BASE_ARTICLE!B254</f>
        <v>Étiquette</v>
      </c>
      <c r="C254" s="5" t="s">
        <v>731</v>
      </c>
      <c r="D254" s="5" t="s">
        <v>798</v>
      </c>
      <c r="E254" s="5" t="s">
        <v>735</v>
      </c>
      <c r="F254" s="5" t="s">
        <v>734</v>
      </c>
      <c r="G254" s="5">
        <f>COUNT(BASE_ARTICLE!E254:BB254)</f>
        <v>3</v>
      </c>
      <c r="H254" s="5">
        <f>COUNT(BASE_ARTICLE!BC254:BV254)</f>
        <v>3</v>
      </c>
      <c r="I254" s="12">
        <f>SUM(BASE_ARTICLE!BC254:BV254)</f>
        <v>8.36</v>
      </c>
      <c r="J254" s="12">
        <f t="shared" si="3"/>
        <v>0.13933333333333334</v>
      </c>
    </row>
    <row r="255" spans="1:10" x14ac:dyDescent="0.25">
      <c r="A255" s="5" t="str">
        <f>BASE_ARTICLE!A255</f>
        <v>ART-0254</v>
      </c>
      <c r="B255" s="5" t="str">
        <f>BASE_ARTICLE!B255</f>
        <v>Étiquette</v>
      </c>
      <c r="C255" s="5" t="s">
        <v>731</v>
      </c>
      <c r="D255" s="5" t="s">
        <v>798</v>
      </c>
      <c r="E255" s="5" t="s">
        <v>806</v>
      </c>
      <c r="F255" s="5" t="s">
        <v>734</v>
      </c>
      <c r="G255" s="5">
        <f>COUNT(BASE_ARTICLE!E255:BB255)</f>
        <v>2</v>
      </c>
      <c r="H255" s="5">
        <f>COUNT(BASE_ARTICLE!BC255:BV255)</f>
        <v>2</v>
      </c>
      <c r="I255" s="12">
        <f>SUM(BASE_ARTICLE!BC255:BV255)</f>
        <v>5.43</v>
      </c>
      <c r="J255" s="12">
        <f t="shared" si="3"/>
        <v>9.0499999999999997E-2</v>
      </c>
    </row>
    <row r="256" spans="1:10" x14ac:dyDescent="0.25">
      <c r="A256" s="5" t="str">
        <f>BASE_ARTICLE!A256</f>
        <v>ART-0255</v>
      </c>
      <c r="B256" s="5" t="str">
        <f>BASE_ARTICLE!B256</f>
        <v>Boîte</v>
      </c>
      <c r="C256" s="5" t="s">
        <v>731</v>
      </c>
      <c r="D256" s="5" t="s">
        <v>798</v>
      </c>
      <c r="E256" s="5" t="s">
        <v>807</v>
      </c>
      <c r="F256" s="5" t="s">
        <v>734</v>
      </c>
      <c r="G256" s="5">
        <f>COUNT(BASE_ARTICLE!E256:BB256)</f>
        <v>3</v>
      </c>
      <c r="H256" s="5">
        <f>COUNT(BASE_ARTICLE!BC256:BV256)</f>
        <v>4</v>
      </c>
      <c r="I256" s="12">
        <f>SUM(BASE_ARTICLE!BC256:BV256)</f>
        <v>79.95</v>
      </c>
      <c r="J256" s="12">
        <f t="shared" si="3"/>
        <v>1.3325</v>
      </c>
    </row>
    <row r="257" spans="1:10" x14ac:dyDescent="0.25">
      <c r="A257" s="5" t="str">
        <f>BASE_ARTICLE!A257</f>
        <v>ART-0256</v>
      </c>
      <c r="B257" s="5" t="str">
        <f>BASE_ARTICLE!B257</f>
        <v>Boîte</v>
      </c>
      <c r="C257" s="5" t="s">
        <v>731</v>
      </c>
      <c r="D257" s="5" t="s">
        <v>798</v>
      </c>
      <c r="E257" s="5" t="s">
        <v>808</v>
      </c>
      <c r="F257" s="5" t="s">
        <v>734</v>
      </c>
      <c r="G257" s="5">
        <f>COUNT(BASE_ARTICLE!E257:BB257)</f>
        <v>3</v>
      </c>
      <c r="H257" s="5">
        <f>COUNT(BASE_ARTICLE!BC257:BV257)</f>
        <v>4</v>
      </c>
      <c r="I257" s="12">
        <f>SUM(BASE_ARTICLE!BC257:BV257)</f>
        <v>144.88</v>
      </c>
      <c r="J257" s="12">
        <f t="shared" si="3"/>
        <v>2.4146666666666667</v>
      </c>
    </row>
    <row r="258" spans="1:10" x14ac:dyDescent="0.25">
      <c r="A258" s="5" t="str">
        <f>BASE_ARTICLE!A258</f>
        <v>ART-0257</v>
      </c>
      <c r="B258" s="5" t="str">
        <f>BASE_ARTICLE!B258</f>
        <v>Boîte</v>
      </c>
      <c r="C258" s="5" t="s">
        <v>731</v>
      </c>
      <c r="D258" s="5" t="s">
        <v>798</v>
      </c>
      <c r="E258" s="5" t="s">
        <v>809</v>
      </c>
      <c r="F258" s="5" t="s">
        <v>734</v>
      </c>
      <c r="G258" s="5">
        <f>COUNT(BASE_ARTICLE!E258:BB258)</f>
        <v>3</v>
      </c>
      <c r="H258" s="5">
        <f>COUNT(BASE_ARTICLE!BC258:BV258)</f>
        <v>4</v>
      </c>
      <c r="I258" s="12">
        <f>SUM(BASE_ARTICLE!BC258:BV258)</f>
        <v>274.77</v>
      </c>
      <c r="J258" s="12">
        <f t="shared" ref="J258:J321" si="4">I258/60</f>
        <v>4.5794999999999995</v>
      </c>
    </row>
    <row r="259" spans="1:10" x14ac:dyDescent="0.25">
      <c r="A259" s="5" t="str">
        <f>BASE_ARTICLE!A259</f>
        <v>ART-0258</v>
      </c>
      <c r="B259" s="5" t="str">
        <f>BASE_ARTICLE!B259</f>
        <v>Boîte</v>
      </c>
      <c r="C259" s="5" t="s">
        <v>731</v>
      </c>
      <c r="D259" s="5" t="s">
        <v>798</v>
      </c>
      <c r="E259" s="5" t="s">
        <v>810</v>
      </c>
      <c r="F259" s="5" t="s">
        <v>734</v>
      </c>
      <c r="G259" s="5">
        <f>COUNT(BASE_ARTICLE!E259:BB259)</f>
        <v>3</v>
      </c>
      <c r="H259" s="5">
        <f>COUNT(BASE_ARTICLE!BC259:BV259)</f>
        <v>4</v>
      </c>
      <c r="I259" s="12">
        <f>SUM(BASE_ARTICLE!BC259:BV259)</f>
        <v>79.95</v>
      </c>
      <c r="J259" s="12">
        <f t="shared" si="4"/>
        <v>1.3325</v>
      </c>
    </row>
    <row r="260" spans="1:10" x14ac:dyDescent="0.25">
      <c r="A260" s="5" t="str">
        <f>BASE_ARTICLE!A260</f>
        <v>ART-0259</v>
      </c>
      <c r="B260" s="5" t="str">
        <f>BASE_ARTICLE!B260</f>
        <v>Boîte</v>
      </c>
      <c r="C260" s="5" t="s">
        <v>731</v>
      </c>
      <c r="D260" s="5" t="s">
        <v>798</v>
      </c>
      <c r="E260" s="5" t="s">
        <v>811</v>
      </c>
      <c r="F260" s="5" t="s">
        <v>734</v>
      </c>
      <c r="G260" s="5">
        <f>COUNT(BASE_ARTICLE!E260:BB260)</f>
        <v>3</v>
      </c>
      <c r="H260" s="5">
        <f>COUNT(BASE_ARTICLE!BC260:BV260)</f>
        <v>4</v>
      </c>
      <c r="I260" s="12">
        <f>SUM(BASE_ARTICLE!BC260:BV260)</f>
        <v>47.47</v>
      </c>
      <c r="J260" s="12">
        <f t="shared" si="4"/>
        <v>0.79116666666666668</v>
      </c>
    </row>
    <row r="261" spans="1:10" x14ac:dyDescent="0.25">
      <c r="A261" s="5" t="str">
        <f>BASE_ARTICLE!A261</f>
        <v>ART-0260</v>
      </c>
      <c r="B261" s="5" t="str">
        <f>BASE_ARTICLE!B261</f>
        <v>Boîte</v>
      </c>
      <c r="C261" s="5" t="s">
        <v>731</v>
      </c>
      <c r="D261" s="5" t="s">
        <v>798</v>
      </c>
      <c r="E261" s="5" t="s">
        <v>809</v>
      </c>
      <c r="F261" s="5" t="s">
        <v>734</v>
      </c>
      <c r="G261" s="5">
        <f>COUNT(BASE_ARTICLE!E261:BB261)</f>
        <v>3</v>
      </c>
      <c r="H261" s="5">
        <f>COUNT(BASE_ARTICLE!BC261:BV261)</f>
        <v>4</v>
      </c>
      <c r="I261" s="12">
        <f>SUM(BASE_ARTICLE!BC261:BV261)</f>
        <v>274.77</v>
      </c>
      <c r="J261" s="12">
        <f t="shared" si="4"/>
        <v>4.5794999999999995</v>
      </c>
    </row>
    <row r="262" spans="1:10" x14ac:dyDescent="0.25">
      <c r="A262" s="5" t="str">
        <f>BASE_ARTICLE!A262</f>
        <v>ART-0261</v>
      </c>
      <c r="B262" s="5" t="str">
        <f>BASE_ARTICLE!B262</f>
        <v>Sachet</v>
      </c>
      <c r="C262" s="5" t="s">
        <v>731</v>
      </c>
      <c r="D262" s="5" t="s">
        <v>798</v>
      </c>
      <c r="E262" s="5" t="s">
        <v>792</v>
      </c>
      <c r="F262" s="5" t="s">
        <v>734</v>
      </c>
      <c r="G262" s="5">
        <f>COUNT(BASE_ARTICLE!E262:BB262)</f>
        <v>3</v>
      </c>
      <c r="H262" s="5">
        <f>COUNT(BASE_ARTICLE!BC262:BV262)</f>
        <v>2</v>
      </c>
      <c r="I262" s="12">
        <f>SUM(BASE_ARTICLE!BC262:BV262)</f>
        <v>1.33</v>
      </c>
      <c r="J262" s="12">
        <f t="shared" si="4"/>
        <v>2.2166666666666668E-2</v>
      </c>
    </row>
    <row r="263" spans="1:10" x14ac:dyDescent="0.25">
      <c r="A263" s="5" t="str">
        <f>BASE_ARTICLE!A263</f>
        <v>ART-0262</v>
      </c>
      <c r="B263" s="5" t="str">
        <f>BASE_ARTICLE!B263</f>
        <v>Sachet</v>
      </c>
      <c r="C263" s="5" t="s">
        <v>731</v>
      </c>
      <c r="D263" s="5" t="s">
        <v>714</v>
      </c>
      <c r="E263" s="5" t="s">
        <v>792</v>
      </c>
      <c r="F263" s="5" t="s">
        <v>734</v>
      </c>
      <c r="G263" s="5">
        <f>COUNT(BASE_ARTICLE!E263:BB263)</f>
        <v>3</v>
      </c>
      <c r="H263" s="5">
        <f>COUNT(BASE_ARTICLE!BC263:BV263)</f>
        <v>2</v>
      </c>
      <c r="I263" s="12">
        <f>SUM(BASE_ARTICLE!BC263:BV263)</f>
        <v>15.75</v>
      </c>
      <c r="J263" s="12">
        <f t="shared" si="4"/>
        <v>0.26250000000000001</v>
      </c>
    </row>
    <row r="264" spans="1:10" x14ac:dyDescent="0.25">
      <c r="A264" s="5" t="str">
        <f>BASE_ARTICLE!A264</f>
        <v>ART-0263</v>
      </c>
      <c r="B264" s="5" t="str">
        <f>BASE_ARTICLE!B264</f>
        <v>Chemise</v>
      </c>
      <c r="C264" s="5" t="s">
        <v>731</v>
      </c>
      <c r="D264" s="5" t="s">
        <v>798</v>
      </c>
      <c r="E264" s="5" t="s">
        <v>808</v>
      </c>
      <c r="F264" s="5" t="s">
        <v>734</v>
      </c>
      <c r="G264" s="5">
        <f>COUNT(BASE_ARTICLE!E264:BB264)</f>
        <v>2</v>
      </c>
      <c r="H264" s="5">
        <f>COUNT(BASE_ARTICLE!BC264:BV264)</f>
        <v>4</v>
      </c>
      <c r="I264" s="12">
        <f>SUM(BASE_ARTICLE!BC264:BV264)</f>
        <v>102.34</v>
      </c>
      <c r="J264" s="12">
        <f t="shared" si="4"/>
        <v>1.7056666666666667</v>
      </c>
    </row>
    <row r="265" spans="1:10" x14ac:dyDescent="0.25">
      <c r="A265" s="5" t="str">
        <f>BASE_ARTICLE!A265</f>
        <v>ART-0264</v>
      </c>
      <c r="B265" s="5" t="str">
        <f>BASE_ARTICLE!B265</f>
        <v>Chemise</v>
      </c>
      <c r="C265" s="5" t="s">
        <v>731</v>
      </c>
      <c r="D265" s="5" t="s">
        <v>798</v>
      </c>
      <c r="E265" s="5" t="s">
        <v>808</v>
      </c>
      <c r="F265" s="5" t="s">
        <v>734</v>
      </c>
      <c r="G265" s="5">
        <f>COUNT(BASE_ARTICLE!E265:BB265)</f>
        <v>3</v>
      </c>
      <c r="H265" s="5">
        <f>COUNT(BASE_ARTICLE!BC265:BV265)</f>
        <v>5</v>
      </c>
      <c r="I265" s="12">
        <f>SUM(BASE_ARTICLE!BC265:BV265)</f>
        <v>105.17</v>
      </c>
      <c r="J265" s="12">
        <f t="shared" si="4"/>
        <v>1.7528333333333335</v>
      </c>
    </row>
    <row r="266" spans="1:10" x14ac:dyDescent="0.25">
      <c r="A266" s="5" t="str">
        <f>BASE_ARTICLE!A266</f>
        <v>ART-0265</v>
      </c>
      <c r="B266" s="5" t="str">
        <f>BASE_ARTICLE!B266</f>
        <v>Chemise</v>
      </c>
      <c r="C266" s="5" t="s">
        <v>731</v>
      </c>
      <c r="D266" s="5" t="s">
        <v>798</v>
      </c>
      <c r="E266" s="5" t="s">
        <v>808</v>
      </c>
      <c r="F266" s="5" t="s">
        <v>734</v>
      </c>
      <c r="G266" s="5">
        <f>COUNT(BASE_ARTICLE!E266:BB266)</f>
        <v>4</v>
      </c>
      <c r="H266" s="5">
        <f>COUNT(BASE_ARTICLE!BC266:BV266)</f>
        <v>6</v>
      </c>
      <c r="I266" s="12">
        <f>SUM(BASE_ARTICLE!BC266:BV266)</f>
        <v>108.32000000000001</v>
      </c>
      <c r="J266" s="12">
        <f t="shared" si="4"/>
        <v>1.8053333333333335</v>
      </c>
    </row>
    <row r="267" spans="1:10" x14ac:dyDescent="0.25">
      <c r="A267" s="5" t="str">
        <f>BASE_ARTICLE!A267</f>
        <v>ART-0266</v>
      </c>
      <c r="B267" s="5" t="str">
        <f>BASE_ARTICLE!B267</f>
        <v>Kit</v>
      </c>
      <c r="C267" s="5" t="s">
        <v>812</v>
      </c>
      <c r="D267" s="5" t="s">
        <v>813</v>
      </c>
      <c r="E267" s="5" t="s">
        <v>812</v>
      </c>
      <c r="F267" s="5" t="s">
        <v>734</v>
      </c>
      <c r="G267" s="5">
        <f>COUNT(BASE_ARTICLE!E267:BB267)</f>
        <v>14</v>
      </c>
      <c r="H267" s="5">
        <f>COUNT(BASE_ARTICLE!BC267:BV267)</f>
        <v>11</v>
      </c>
      <c r="I267" s="12">
        <f>SUM(BASE_ARTICLE!BC267:BV267)</f>
        <v>607.19000000000005</v>
      </c>
      <c r="J267" s="12">
        <f t="shared" si="4"/>
        <v>10.119833333333334</v>
      </c>
    </row>
    <row r="268" spans="1:10" x14ac:dyDescent="0.25">
      <c r="A268" s="5" t="str">
        <f>BASE_ARTICLE!A268</f>
        <v>ART-0267</v>
      </c>
      <c r="B268" s="5" t="str">
        <f>BASE_ARTICLE!B268</f>
        <v>Kit</v>
      </c>
      <c r="C268" s="5" t="s">
        <v>812</v>
      </c>
      <c r="D268" s="5" t="s">
        <v>813</v>
      </c>
      <c r="E268" s="5" t="s">
        <v>812</v>
      </c>
      <c r="F268" s="5" t="s">
        <v>734</v>
      </c>
      <c r="G268" s="5">
        <f>COUNT(BASE_ARTICLE!E268:BB268)</f>
        <v>8</v>
      </c>
      <c r="H268" s="5">
        <f>COUNT(BASE_ARTICLE!BC268:BV268)</f>
        <v>8</v>
      </c>
      <c r="I268" s="12">
        <f>SUM(BASE_ARTICLE!BC268:BV268)</f>
        <v>141.37</v>
      </c>
      <c r="J268" s="12">
        <f t="shared" si="4"/>
        <v>2.3561666666666667</v>
      </c>
    </row>
    <row r="269" spans="1:10" x14ac:dyDescent="0.25">
      <c r="A269" s="5" t="str">
        <f>BASE_ARTICLE!A269</f>
        <v>ART-0268</v>
      </c>
      <c r="B269" s="5" t="str">
        <f>BASE_ARTICLE!B269</f>
        <v>Coffret</v>
      </c>
      <c r="C269" s="5" t="s">
        <v>812</v>
      </c>
      <c r="D269" s="5" t="s">
        <v>813</v>
      </c>
      <c r="E269" s="5" t="s">
        <v>812</v>
      </c>
      <c r="F269" s="5" t="s">
        <v>734</v>
      </c>
      <c r="G269" s="5">
        <f>COUNT(BASE_ARTICLE!E269:BB269)</f>
        <v>9</v>
      </c>
      <c r="H269" s="5">
        <f>COUNT(BASE_ARTICLE!BC269:BV269)</f>
        <v>8</v>
      </c>
      <c r="I269" s="12">
        <f>SUM(BASE_ARTICLE!BC269:BV269)</f>
        <v>820.37</v>
      </c>
      <c r="J269" s="12">
        <f t="shared" si="4"/>
        <v>13.672833333333333</v>
      </c>
    </row>
    <row r="270" spans="1:10" x14ac:dyDescent="0.25">
      <c r="A270" s="5" t="str">
        <f>BASE_ARTICLE!A270</f>
        <v>ART-0269</v>
      </c>
      <c r="B270" s="5" t="str">
        <f>BASE_ARTICLE!B270</f>
        <v>Kit</v>
      </c>
      <c r="C270" s="5" t="s">
        <v>812</v>
      </c>
      <c r="D270" s="5" t="s">
        <v>813</v>
      </c>
      <c r="E270" s="5" t="s">
        <v>812</v>
      </c>
      <c r="F270" s="5" t="s">
        <v>734</v>
      </c>
      <c r="G270" s="5">
        <f>COUNT(BASE_ARTICLE!E270:BB270)</f>
        <v>8</v>
      </c>
      <c r="H270" s="5">
        <f>COUNT(BASE_ARTICLE!BC270:BV270)</f>
        <v>6</v>
      </c>
      <c r="I270" s="12">
        <f>SUM(BASE_ARTICLE!BC270:BV270)</f>
        <v>105.3</v>
      </c>
      <c r="J270" s="12">
        <f t="shared" si="4"/>
        <v>1.7549999999999999</v>
      </c>
    </row>
    <row r="271" spans="1:10" x14ac:dyDescent="0.25">
      <c r="A271" s="5" t="str">
        <f>BASE_ARTICLE!A271</f>
        <v>ART-0270</v>
      </c>
      <c r="B271" s="5" t="str">
        <f>BASE_ARTICLE!B271</f>
        <v>Coffret</v>
      </c>
      <c r="C271" s="5" t="s">
        <v>812</v>
      </c>
      <c r="D271" s="5" t="s">
        <v>813</v>
      </c>
      <c r="E271" s="5" t="s">
        <v>812</v>
      </c>
      <c r="F271" s="5" t="s">
        <v>734</v>
      </c>
      <c r="G271" s="5">
        <f>COUNT(BASE_ARTICLE!E271:BB271)</f>
        <v>14</v>
      </c>
      <c r="H271" s="5">
        <f>COUNT(BASE_ARTICLE!BC271:BV271)</f>
        <v>12</v>
      </c>
      <c r="I271" s="12">
        <f>SUM(BASE_ARTICLE!BC271:BV271)</f>
        <v>449.18999999999994</v>
      </c>
      <c r="J271" s="12">
        <f t="shared" si="4"/>
        <v>7.4864999999999986</v>
      </c>
    </row>
    <row r="272" spans="1:10" x14ac:dyDescent="0.25">
      <c r="A272" s="5" t="str">
        <f>BASE_ARTICLE!A272</f>
        <v>ART-0271</v>
      </c>
      <c r="B272" s="5" t="str">
        <f>BASE_ARTICLE!B272</f>
        <v>Kit</v>
      </c>
      <c r="C272" s="5" t="s">
        <v>812</v>
      </c>
      <c r="D272" s="5" t="s">
        <v>813</v>
      </c>
      <c r="E272" s="5" t="s">
        <v>812</v>
      </c>
      <c r="F272" s="5" t="s">
        <v>750</v>
      </c>
      <c r="G272" s="5">
        <f>COUNT(BASE_ARTICLE!E272:BB272)</f>
        <v>7</v>
      </c>
      <c r="H272" s="5">
        <f>COUNT(BASE_ARTICLE!BC272:BV272)</f>
        <v>5</v>
      </c>
      <c r="I272" s="12">
        <f>SUM(BASE_ARTICLE!BC272:BV272)</f>
        <v>1158.8</v>
      </c>
      <c r="J272" s="12">
        <f t="shared" si="4"/>
        <v>19.313333333333333</v>
      </c>
    </row>
    <row r="273" spans="1:10" x14ac:dyDescent="0.25">
      <c r="A273" s="5" t="str">
        <f>BASE_ARTICLE!A273</f>
        <v>ART-0272</v>
      </c>
      <c r="B273" s="5" t="str">
        <f>BASE_ARTICLE!B273</f>
        <v>Kit</v>
      </c>
      <c r="C273" s="5" t="s">
        <v>812</v>
      </c>
      <c r="D273" s="5" t="s">
        <v>813</v>
      </c>
      <c r="E273" s="5" t="s">
        <v>812</v>
      </c>
      <c r="F273" s="5" t="s">
        <v>734</v>
      </c>
      <c r="G273" s="5">
        <f>COUNT(BASE_ARTICLE!E273:BB273)</f>
        <v>13</v>
      </c>
      <c r="H273" s="5">
        <f>COUNT(BASE_ARTICLE!BC273:BV273)</f>
        <v>9</v>
      </c>
      <c r="I273" s="12">
        <f>SUM(BASE_ARTICLE!BC273:BV273)</f>
        <v>181.4</v>
      </c>
      <c r="J273" s="12">
        <f t="shared" si="4"/>
        <v>3.0233333333333334</v>
      </c>
    </row>
    <row r="274" spans="1:10" x14ac:dyDescent="0.25">
      <c r="A274" s="5" t="str">
        <f>BASE_ARTICLE!A274</f>
        <v>ART-0273</v>
      </c>
      <c r="B274" s="5" t="str">
        <f>BASE_ARTICLE!B274</f>
        <v>Kit</v>
      </c>
      <c r="C274" s="5" t="s">
        <v>812</v>
      </c>
      <c r="D274" s="5" t="s">
        <v>813</v>
      </c>
      <c r="E274" s="5" t="s">
        <v>812</v>
      </c>
      <c r="F274" s="5" t="s">
        <v>734</v>
      </c>
      <c r="G274" s="5">
        <f>COUNT(BASE_ARTICLE!E274:BB274)</f>
        <v>8</v>
      </c>
      <c r="H274" s="5">
        <f>COUNT(BASE_ARTICLE!BC274:BV274)</f>
        <v>5</v>
      </c>
      <c r="I274" s="12">
        <f>SUM(BASE_ARTICLE!BC274:BV274)</f>
        <v>395.12</v>
      </c>
      <c r="J274" s="12">
        <f t="shared" si="4"/>
        <v>6.5853333333333337</v>
      </c>
    </row>
  </sheetData>
  <autoFilter ref="A1:J27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2A44"/>
  </sheetPr>
  <dimension ref="A1:J51"/>
  <sheetViews>
    <sheetView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28" sqref="B28"/>
    </sheetView>
  </sheetViews>
  <sheetFormatPr baseColWidth="10" defaultColWidth="8.7109375" defaultRowHeight="15" x14ac:dyDescent="0.25"/>
  <cols>
    <col min="1" max="1" width="10" customWidth="1"/>
    <col min="2" max="2" width="48" customWidth="1"/>
    <col min="3" max="3" width="18" customWidth="1"/>
    <col min="4" max="4" width="24" customWidth="1"/>
    <col min="5" max="5" width="12" customWidth="1"/>
    <col min="6" max="6" width="18" customWidth="1"/>
    <col min="7" max="7" width="12" customWidth="1"/>
    <col min="8" max="8" width="14" customWidth="1"/>
    <col min="9" max="9" width="30" customWidth="1"/>
    <col min="10" max="10" width="14" customWidth="1"/>
  </cols>
  <sheetData>
    <row r="1" spans="1:10" ht="30" customHeight="1" x14ac:dyDescent="0.25">
      <c r="A1" s="1" t="s">
        <v>814</v>
      </c>
      <c r="B1" s="1" t="s">
        <v>815</v>
      </c>
      <c r="C1" s="1" t="s">
        <v>816</v>
      </c>
      <c r="D1" s="1" t="s">
        <v>817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</row>
    <row r="2" spans="1:10" x14ac:dyDescent="0.25">
      <c r="A2" s="5" t="s">
        <v>4</v>
      </c>
      <c r="B2" s="5" t="s">
        <v>824</v>
      </c>
      <c r="C2" s="5" t="s">
        <v>825</v>
      </c>
      <c r="D2" s="5" t="s">
        <v>826</v>
      </c>
      <c r="E2" s="5" t="s">
        <v>827</v>
      </c>
      <c r="F2" s="5" t="s">
        <v>828</v>
      </c>
      <c r="G2" s="5" t="s">
        <v>829</v>
      </c>
      <c r="H2" s="13">
        <v>125</v>
      </c>
      <c r="I2" s="14" t="s">
        <v>830</v>
      </c>
      <c r="J2" s="5">
        <f>COUNT(BASE_ARTICLE!E2:E274)</f>
        <v>52</v>
      </c>
    </row>
    <row r="3" spans="1:10" x14ac:dyDescent="0.25">
      <c r="A3" s="5" t="s">
        <v>5</v>
      </c>
      <c r="B3" s="5" t="s">
        <v>831</v>
      </c>
      <c r="C3" s="5" t="s">
        <v>825</v>
      </c>
      <c r="D3" s="5" t="s">
        <v>826</v>
      </c>
      <c r="E3" s="5" t="s">
        <v>827</v>
      </c>
      <c r="F3" s="5" t="s">
        <v>832</v>
      </c>
      <c r="G3" s="5" t="s">
        <v>829</v>
      </c>
      <c r="H3" s="13">
        <v>100</v>
      </c>
      <c r="I3" s="5" t="s">
        <v>833</v>
      </c>
      <c r="J3" s="5">
        <f>COUNT(BASE_ARTICLE!F2:F274)</f>
        <v>24</v>
      </c>
    </row>
    <row r="4" spans="1:10" x14ac:dyDescent="0.25">
      <c r="A4" s="5" t="s">
        <v>6</v>
      </c>
      <c r="B4" s="5" t="s">
        <v>834</v>
      </c>
      <c r="C4" s="5" t="s">
        <v>825</v>
      </c>
      <c r="D4" s="5" t="s">
        <v>826</v>
      </c>
      <c r="E4" s="5" t="s">
        <v>827</v>
      </c>
      <c r="F4" s="5" t="s">
        <v>832</v>
      </c>
      <c r="G4" s="5" t="s">
        <v>829</v>
      </c>
      <c r="H4" s="13">
        <v>100</v>
      </c>
      <c r="I4" s="14" t="s">
        <v>830</v>
      </c>
      <c r="J4" s="5">
        <f>COUNT(BASE_ARTICLE!G2:G274)</f>
        <v>40</v>
      </c>
    </row>
    <row r="5" spans="1:10" x14ac:dyDescent="0.25">
      <c r="A5" s="5" t="s">
        <v>7</v>
      </c>
      <c r="B5" s="5" t="s">
        <v>835</v>
      </c>
      <c r="C5" s="5" t="s">
        <v>825</v>
      </c>
      <c r="D5" s="5" t="s">
        <v>826</v>
      </c>
      <c r="E5" s="5" t="s">
        <v>827</v>
      </c>
      <c r="F5" s="5" t="s">
        <v>832</v>
      </c>
      <c r="G5" s="5" t="s">
        <v>829</v>
      </c>
      <c r="H5" s="13">
        <v>100</v>
      </c>
      <c r="I5" s="14" t="s">
        <v>830</v>
      </c>
      <c r="J5" s="5">
        <f>COUNT(BASE_ARTICLE!H2:H274)</f>
        <v>35</v>
      </c>
    </row>
    <row r="6" spans="1:10" x14ac:dyDescent="0.25">
      <c r="A6" s="5" t="s">
        <v>8</v>
      </c>
      <c r="B6" s="5" t="s">
        <v>836</v>
      </c>
      <c r="C6" s="5" t="s">
        <v>825</v>
      </c>
      <c r="D6" s="5" t="s">
        <v>826</v>
      </c>
      <c r="E6" s="5" t="s">
        <v>827</v>
      </c>
      <c r="F6" s="5" t="s">
        <v>837</v>
      </c>
      <c r="G6" s="5" t="s">
        <v>829</v>
      </c>
      <c r="H6" s="13">
        <v>250</v>
      </c>
      <c r="I6" s="14" t="s">
        <v>838</v>
      </c>
      <c r="J6" s="5">
        <f>COUNT(BASE_ARTICLE!I2:I274)</f>
        <v>32</v>
      </c>
    </row>
    <row r="7" spans="1:10" x14ac:dyDescent="0.25">
      <c r="A7" s="5" t="s">
        <v>9</v>
      </c>
      <c r="B7" s="5" t="s">
        <v>839</v>
      </c>
      <c r="C7" s="5" t="s">
        <v>825</v>
      </c>
      <c r="D7" s="5" t="s">
        <v>826</v>
      </c>
      <c r="E7" s="5" t="s">
        <v>827</v>
      </c>
      <c r="F7" s="5" t="s">
        <v>828</v>
      </c>
      <c r="G7" s="5" t="s">
        <v>829</v>
      </c>
      <c r="H7" s="13">
        <v>125</v>
      </c>
      <c r="I7" s="14" t="s">
        <v>838</v>
      </c>
      <c r="J7" s="5">
        <f>COUNT(BASE_ARTICLE!J2:J274)</f>
        <v>1</v>
      </c>
    </row>
    <row r="8" spans="1:10" x14ac:dyDescent="0.25">
      <c r="A8" s="5" t="s">
        <v>10</v>
      </c>
      <c r="B8" s="5" t="s">
        <v>840</v>
      </c>
      <c r="C8" s="5" t="s">
        <v>825</v>
      </c>
      <c r="D8" s="5" t="s">
        <v>826</v>
      </c>
      <c r="E8" s="5" t="s">
        <v>827</v>
      </c>
      <c r="F8" s="5" t="s">
        <v>832</v>
      </c>
      <c r="G8" s="5" t="s">
        <v>829</v>
      </c>
      <c r="H8" s="13">
        <v>100</v>
      </c>
      <c r="I8" s="5" t="s">
        <v>841</v>
      </c>
      <c r="J8" s="5">
        <f>COUNT(BASE_ARTICLE!K2:K274)</f>
        <v>31</v>
      </c>
    </row>
    <row r="9" spans="1:10" x14ac:dyDescent="0.25">
      <c r="A9" s="5" t="s">
        <v>11</v>
      </c>
      <c r="B9" s="5" t="s">
        <v>842</v>
      </c>
      <c r="C9" s="5" t="s">
        <v>825</v>
      </c>
      <c r="D9" s="5" t="s">
        <v>826</v>
      </c>
      <c r="E9" s="5" t="s">
        <v>827</v>
      </c>
      <c r="F9" s="5" t="s">
        <v>832</v>
      </c>
      <c r="G9" s="5" t="s">
        <v>829</v>
      </c>
      <c r="H9" s="13">
        <v>100</v>
      </c>
      <c r="I9" s="14" t="s">
        <v>843</v>
      </c>
      <c r="J9" s="5">
        <f>COUNT(BASE_ARTICLE!L2:L274)</f>
        <v>11</v>
      </c>
    </row>
    <row r="10" spans="1:10" x14ac:dyDescent="0.25">
      <c r="A10" s="5" t="s">
        <v>12</v>
      </c>
      <c r="B10" s="5" t="s">
        <v>844</v>
      </c>
      <c r="C10" s="5" t="s">
        <v>825</v>
      </c>
      <c r="D10" s="5" t="s">
        <v>826</v>
      </c>
      <c r="E10" s="5" t="s">
        <v>827</v>
      </c>
      <c r="F10" s="5" t="s">
        <v>832</v>
      </c>
      <c r="G10" s="5" t="s">
        <v>829</v>
      </c>
      <c r="H10" s="13">
        <v>100</v>
      </c>
      <c r="I10" s="14" t="s">
        <v>845</v>
      </c>
      <c r="J10" s="5">
        <f>COUNT(BASE_ARTICLE!M2:M274)</f>
        <v>14</v>
      </c>
    </row>
    <row r="11" spans="1:10" x14ac:dyDescent="0.25">
      <c r="A11" s="5" t="s">
        <v>13</v>
      </c>
      <c r="B11" s="5" t="s">
        <v>846</v>
      </c>
      <c r="C11" s="5" t="s">
        <v>825</v>
      </c>
      <c r="D11" s="5" t="s">
        <v>710</v>
      </c>
      <c r="E11" s="5" t="s">
        <v>847</v>
      </c>
      <c r="F11" s="5" t="s">
        <v>848</v>
      </c>
      <c r="G11" s="5" t="s">
        <v>785</v>
      </c>
      <c r="H11" s="13">
        <v>50</v>
      </c>
      <c r="I11" s="5" t="s">
        <v>849</v>
      </c>
      <c r="J11" s="5">
        <f>COUNT(BASE_ARTICLE!N2:N274)</f>
        <v>19</v>
      </c>
    </row>
    <row r="12" spans="1:10" x14ac:dyDescent="0.25">
      <c r="A12" s="5" t="s">
        <v>14</v>
      </c>
      <c r="B12" s="5" t="s">
        <v>850</v>
      </c>
      <c r="C12" s="5" t="s">
        <v>825</v>
      </c>
      <c r="D12" s="5" t="s">
        <v>710</v>
      </c>
      <c r="E12" s="5" t="s">
        <v>847</v>
      </c>
      <c r="F12" s="5" t="s">
        <v>848</v>
      </c>
      <c r="G12" s="5" t="s">
        <v>785</v>
      </c>
      <c r="H12" s="13">
        <v>50</v>
      </c>
      <c r="I12" s="5" t="s">
        <v>849</v>
      </c>
      <c r="J12" s="5">
        <f>COUNT(BASE_ARTICLE!O2:O274)</f>
        <v>4</v>
      </c>
    </row>
    <row r="13" spans="1:10" x14ac:dyDescent="0.25">
      <c r="A13" s="5" t="s">
        <v>15</v>
      </c>
      <c r="B13" s="5" t="s">
        <v>851</v>
      </c>
      <c r="C13" s="5" t="s">
        <v>825</v>
      </c>
      <c r="D13" s="5" t="s">
        <v>710</v>
      </c>
      <c r="E13" s="5" t="s">
        <v>847</v>
      </c>
      <c r="F13" s="5" t="s">
        <v>848</v>
      </c>
      <c r="G13" s="5" t="s">
        <v>785</v>
      </c>
      <c r="H13" s="13">
        <v>50</v>
      </c>
      <c r="I13" s="14" t="s">
        <v>843</v>
      </c>
      <c r="J13" s="5">
        <f>COUNT(BASE_ARTICLE!P2:P274)</f>
        <v>1</v>
      </c>
    </row>
    <row r="14" spans="1:10" x14ac:dyDescent="0.25">
      <c r="A14" s="5" t="s">
        <v>16</v>
      </c>
      <c r="B14" s="5" t="s">
        <v>852</v>
      </c>
      <c r="C14" s="5" t="s">
        <v>825</v>
      </c>
      <c r="D14" s="5" t="s">
        <v>710</v>
      </c>
      <c r="E14" s="5" t="s">
        <v>847</v>
      </c>
      <c r="F14" s="5" t="s">
        <v>848</v>
      </c>
      <c r="G14" s="5" t="s">
        <v>785</v>
      </c>
      <c r="H14" s="13">
        <v>50</v>
      </c>
      <c r="I14" s="5" t="s">
        <v>849</v>
      </c>
      <c r="J14" s="5">
        <f>COUNT(BASE_ARTICLE!Q2:Q274)</f>
        <v>5</v>
      </c>
    </row>
    <row r="15" spans="1:10" x14ac:dyDescent="0.25">
      <c r="A15" s="5" t="s">
        <v>17</v>
      </c>
      <c r="B15" s="5" t="s">
        <v>853</v>
      </c>
      <c r="C15" s="5" t="s">
        <v>825</v>
      </c>
      <c r="D15" s="5" t="s">
        <v>710</v>
      </c>
      <c r="E15" s="5" t="s">
        <v>847</v>
      </c>
      <c r="F15" s="5" t="s">
        <v>854</v>
      </c>
      <c r="G15" s="5" t="s">
        <v>785</v>
      </c>
      <c r="H15" s="13">
        <v>30</v>
      </c>
      <c r="I15" s="5" t="s">
        <v>849</v>
      </c>
      <c r="J15" s="5">
        <f>COUNT(BASE_ARTICLE!R2:R274)</f>
        <v>7</v>
      </c>
    </row>
    <row r="16" spans="1:10" x14ac:dyDescent="0.25">
      <c r="A16" s="5" t="s">
        <v>18</v>
      </c>
      <c r="B16" s="5" t="s">
        <v>855</v>
      </c>
      <c r="C16" s="5" t="s">
        <v>825</v>
      </c>
      <c r="D16" s="5" t="s">
        <v>710</v>
      </c>
      <c r="E16" s="5" t="s">
        <v>847</v>
      </c>
      <c r="F16" s="5" t="s">
        <v>848</v>
      </c>
      <c r="G16" s="5" t="s">
        <v>785</v>
      </c>
      <c r="H16" s="13">
        <v>50</v>
      </c>
      <c r="I16" s="5" t="s">
        <v>849</v>
      </c>
      <c r="J16" s="5">
        <f>COUNT(BASE_ARTICLE!S2:S274)</f>
        <v>4</v>
      </c>
    </row>
    <row r="17" spans="1:10" x14ac:dyDescent="0.25">
      <c r="A17" s="5" t="s">
        <v>19</v>
      </c>
      <c r="B17" s="5" t="s">
        <v>856</v>
      </c>
      <c r="C17" s="5" t="s">
        <v>825</v>
      </c>
      <c r="D17" s="5" t="s">
        <v>857</v>
      </c>
      <c r="E17" s="5" t="s">
        <v>858</v>
      </c>
      <c r="F17" s="5" t="s">
        <v>859</v>
      </c>
      <c r="G17" s="5" t="s">
        <v>731</v>
      </c>
      <c r="H17" s="13">
        <v>50</v>
      </c>
      <c r="I17" s="5" t="s">
        <v>849</v>
      </c>
      <c r="J17" s="5">
        <f>COUNT(BASE_ARTICLE!T2:T274)</f>
        <v>9</v>
      </c>
    </row>
    <row r="18" spans="1:10" x14ac:dyDescent="0.25">
      <c r="A18" s="5" t="s">
        <v>20</v>
      </c>
      <c r="B18" s="5" t="s">
        <v>860</v>
      </c>
      <c r="C18" s="5" t="s">
        <v>825</v>
      </c>
      <c r="D18" s="5" t="s">
        <v>857</v>
      </c>
      <c r="E18" s="5" t="s">
        <v>858</v>
      </c>
      <c r="F18" s="5" t="s">
        <v>859</v>
      </c>
      <c r="G18" s="5" t="s">
        <v>731</v>
      </c>
      <c r="H18" s="13">
        <v>50</v>
      </c>
      <c r="I18" s="5" t="s">
        <v>849</v>
      </c>
      <c r="J18" s="5">
        <f>COUNT(BASE_ARTICLE!U2:U274)</f>
        <v>10</v>
      </c>
    </row>
    <row r="19" spans="1:10" x14ac:dyDescent="0.25">
      <c r="A19" s="5" t="s">
        <v>21</v>
      </c>
      <c r="B19" s="5" t="s">
        <v>861</v>
      </c>
      <c r="C19" s="5" t="s">
        <v>825</v>
      </c>
      <c r="D19" s="5" t="s">
        <v>857</v>
      </c>
      <c r="E19" s="5" t="s">
        <v>858</v>
      </c>
      <c r="F19" s="5" t="s">
        <v>862</v>
      </c>
      <c r="G19" s="5" t="s">
        <v>731</v>
      </c>
      <c r="H19" s="13">
        <v>25</v>
      </c>
      <c r="I19" s="5" t="s">
        <v>849</v>
      </c>
      <c r="J19" s="5">
        <f>COUNT(BASE_ARTICLE!V2:V274)</f>
        <v>5</v>
      </c>
    </row>
    <row r="20" spans="1:10" x14ac:dyDescent="0.25">
      <c r="A20" s="5" t="s">
        <v>22</v>
      </c>
      <c r="B20" s="5" t="s">
        <v>863</v>
      </c>
      <c r="C20" s="5" t="s">
        <v>825</v>
      </c>
      <c r="D20" s="5" t="s">
        <v>857</v>
      </c>
      <c r="E20" s="5" t="s">
        <v>858</v>
      </c>
      <c r="F20" s="5" t="s">
        <v>864</v>
      </c>
      <c r="G20" s="5" t="s">
        <v>731</v>
      </c>
      <c r="H20" s="13">
        <v>100</v>
      </c>
      <c r="I20" s="5" t="s">
        <v>849</v>
      </c>
      <c r="J20" s="5">
        <f>COUNT(BASE_ARTICLE!W2:W274)</f>
        <v>4</v>
      </c>
    </row>
    <row r="21" spans="1:10" x14ac:dyDescent="0.25">
      <c r="A21" s="5" t="s">
        <v>23</v>
      </c>
      <c r="B21" s="5" t="s">
        <v>865</v>
      </c>
      <c r="C21" s="5" t="s">
        <v>825</v>
      </c>
      <c r="D21" s="5" t="s">
        <v>857</v>
      </c>
      <c r="E21" s="5" t="s">
        <v>858</v>
      </c>
      <c r="F21" s="5" t="s">
        <v>859</v>
      </c>
      <c r="G21" s="5" t="s">
        <v>731</v>
      </c>
      <c r="H21" s="13">
        <v>50</v>
      </c>
      <c r="I21" s="14" t="s">
        <v>843</v>
      </c>
      <c r="J21" s="5">
        <f>COUNT(BASE_ARTICLE!X2:X274)</f>
        <v>4</v>
      </c>
    </row>
    <row r="22" spans="1:10" x14ac:dyDescent="0.25">
      <c r="A22" s="5" t="s">
        <v>24</v>
      </c>
      <c r="B22" s="5" t="s">
        <v>866</v>
      </c>
      <c r="C22" s="5" t="s">
        <v>825</v>
      </c>
      <c r="D22" s="5" t="s">
        <v>867</v>
      </c>
      <c r="E22" s="5" t="s">
        <v>868</v>
      </c>
      <c r="F22" s="5" t="s">
        <v>859</v>
      </c>
      <c r="G22" s="5" t="s">
        <v>731</v>
      </c>
      <c r="H22" s="13">
        <v>50</v>
      </c>
      <c r="I22" s="5" t="s">
        <v>869</v>
      </c>
      <c r="J22" s="5">
        <f>COUNT(BASE_ARTICLE!Y2:Y274)</f>
        <v>5</v>
      </c>
    </row>
    <row r="23" spans="1:10" x14ac:dyDescent="0.25">
      <c r="A23" s="5" t="s">
        <v>25</v>
      </c>
      <c r="B23" s="5" t="s">
        <v>870</v>
      </c>
      <c r="C23" s="5" t="s">
        <v>825</v>
      </c>
      <c r="D23" s="5" t="s">
        <v>871</v>
      </c>
      <c r="E23" s="5" t="s">
        <v>858</v>
      </c>
      <c r="F23" s="5" t="s">
        <v>872</v>
      </c>
      <c r="G23" s="5" t="s">
        <v>731</v>
      </c>
      <c r="H23" s="13">
        <v>500</v>
      </c>
      <c r="I23" s="5" t="s">
        <v>849</v>
      </c>
      <c r="J23" s="5">
        <f>COUNT(BASE_ARTICLE!Z2:Z274)</f>
        <v>6</v>
      </c>
    </row>
    <row r="24" spans="1:10" x14ac:dyDescent="0.25">
      <c r="A24" s="5" t="s">
        <v>26</v>
      </c>
      <c r="B24" s="5" t="s">
        <v>873</v>
      </c>
      <c r="C24" s="5" t="s">
        <v>825</v>
      </c>
      <c r="D24" s="5" t="s">
        <v>871</v>
      </c>
      <c r="E24" s="5" t="s">
        <v>858</v>
      </c>
      <c r="F24" s="5" t="s">
        <v>874</v>
      </c>
      <c r="G24" s="5" t="s">
        <v>731</v>
      </c>
      <c r="H24" s="13">
        <v>36</v>
      </c>
      <c r="I24" s="5" t="s">
        <v>849</v>
      </c>
      <c r="J24" s="5">
        <f>COUNT(BASE_ARTICLE!AA2:AA274)</f>
        <v>5</v>
      </c>
    </row>
    <row r="25" spans="1:10" x14ac:dyDescent="0.25">
      <c r="A25" s="5" t="s">
        <v>27</v>
      </c>
      <c r="B25" s="5" t="s">
        <v>875</v>
      </c>
      <c r="C25" s="5" t="s">
        <v>825</v>
      </c>
      <c r="D25" s="5" t="s">
        <v>871</v>
      </c>
      <c r="E25" s="5" t="s">
        <v>858</v>
      </c>
      <c r="F25" s="5" t="s">
        <v>859</v>
      </c>
      <c r="G25" s="5" t="s">
        <v>731</v>
      </c>
      <c r="H25" s="13">
        <v>50</v>
      </c>
      <c r="I25" s="5" t="s">
        <v>849</v>
      </c>
      <c r="J25" s="5">
        <f>COUNT(BASE_ARTICLE!AB2:AB274)</f>
        <v>5</v>
      </c>
    </row>
    <row r="26" spans="1:10" x14ac:dyDescent="0.25">
      <c r="A26" s="5" t="s">
        <v>28</v>
      </c>
      <c r="B26" s="5" t="s">
        <v>876</v>
      </c>
      <c r="C26" s="5" t="s">
        <v>825</v>
      </c>
      <c r="D26" s="5" t="s">
        <v>871</v>
      </c>
      <c r="E26" s="5" t="s">
        <v>868</v>
      </c>
      <c r="F26" s="5" t="s">
        <v>864</v>
      </c>
      <c r="G26" s="5" t="s">
        <v>731</v>
      </c>
      <c r="H26" s="13">
        <v>100</v>
      </c>
      <c r="I26" s="5" t="s">
        <v>849</v>
      </c>
      <c r="J26" s="5">
        <f>COUNT(BASE_ARTICLE!AC2:AC274)</f>
        <v>3</v>
      </c>
    </row>
    <row r="27" spans="1:10" x14ac:dyDescent="0.25">
      <c r="A27" s="5" t="s">
        <v>29</v>
      </c>
      <c r="B27" s="5" t="s">
        <v>1029</v>
      </c>
      <c r="C27" s="5" t="s">
        <v>825</v>
      </c>
      <c r="D27" s="5" t="s">
        <v>871</v>
      </c>
      <c r="E27" s="5" t="s">
        <v>868</v>
      </c>
      <c r="F27" s="5" t="s">
        <v>864</v>
      </c>
      <c r="G27" s="5" t="s">
        <v>731</v>
      </c>
      <c r="H27" s="13">
        <v>100</v>
      </c>
      <c r="I27" s="5" t="s">
        <v>849</v>
      </c>
      <c r="J27" s="5">
        <f>COUNT(BASE_ARTICLE!AD2:AD274)</f>
        <v>7</v>
      </c>
    </row>
    <row r="28" spans="1:10" x14ac:dyDescent="0.25">
      <c r="A28" s="5" t="s">
        <v>30</v>
      </c>
      <c r="B28" s="5" t="s">
        <v>877</v>
      </c>
      <c r="C28" s="5" t="s">
        <v>825</v>
      </c>
      <c r="D28" s="5" t="s">
        <v>878</v>
      </c>
      <c r="E28" s="5" t="s">
        <v>634</v>
      </c>
      <c r="F28" s="5" t="s">
        <v>872</v>
      </c>
      <c r="G28" s="5" t="s">
        <v>731</v>
      </c>
      <c r="H28" s="13">
        <v>500</v>
      </c>
      <c r="I28" s="5" t="s">
        <v>869</v>
      </c>
      <c r="J28" s="5">
        <f>COUNT(BASE_ARTICLE!AE2:AE274)</f>
        <v>2</v>
      </c>
    </row>
    <row r="29" spans="1:10" x14ac:dyDescent="0.25">
      <c r="A29" s="5" t="s">
        <v>31</v>
      </c>
      <c r="B29" s="5" t="s">
        <v>879</v>
      </c>
      <c r="C29" s="5" t="s">
        <v>825</v>
      </c>
      <c r="D29" s="5" t="s">
        <v>878</v>
      </c>
      <c r="E29" s="5" t="s">
        <v>868</v>
      </c>
      <c r="F29" s="5" t="s">
        <v>864</v>
      </c>
      <c r="G29" s="5" t="s">
        <v>731</v>
      </c>
      <c r="H29" s="13">
        <v>100</v>
      </c>
      <c r="I29" s="5" t="s">
        <v>869</v>
      </c>
      <c r="J29" s="5">
        <f>COUNT(BASE_ARTICLE!AF2:AF274)</f>
        <v>2</v>
      </c>
    </row>
    <row r="30" spans="1:10" x14ac:dyDescent="0.25">
      <c r="A30" s="5" t="s">
        <v>32</v>
      </c>
      <c r="B30" s="5" t="s">
        <v>880</v>
      </c>
      <c r="C30" s="5" t="s">
        <v>825</v>
      </c>
      <c r="D30" s="5" t="s">
        <v>881</v>
      </c>
      <c r="E30" s="5" t="s">
        <v>634</v>
      </c>
      <c r="F30" s="5" t="s">
        <v>864</v>
      </c>
      <c r="G30" s="5" t="s">
        <v>731</v>
      </c>
      <c r="H30" s="13">
        <v>100</v>
      </c>
      <c r="I30" s="14" t="s">
        <v>882</v>
      </c>
      <c r="J30" s="5">
        <f>COUNT(BASE_ARTICLE!AG2:AG274)</f>
        <v>14</v>
      </c>
    </row>
    <row r="31" spans="1:10" x14ac:dyDescent="0.25">
      <c r="A31" s="5" t="s">
        <v>33</v>
      </c>
      <c r="B31" s="5" t="s">
        <v>883</v>
      </c>
      <c r="C31" s="5" t="s">
        <v>825</v>
      </c>
      <c r="D31" s="5" t="s">
        <v>881</v>
      </c>
      <c r="E31" s="5" t="s">
        <v>592</v>
      </c>
      <c r="F31" s="5" t="s">
        <v>884</v>
      </c>
      <c r="G31" s="5" t="s">
        <v>885</v>
      </c>
      <c r="H31" s="13">
        <v>5</v>
      </c>
      <c r="I31" s="14" t="s">
        <v>882</v>
      </c>
      <c r="J31" s="5">
        <f>COUNT(BASE_ARTICLE!AH2:AH274)</f>
        <v>24</v>
      </c>
    </row>
    <row r="32" spans="1:10" x14ac:dyDescent="0.25">
      <c r="A32" s="5" t="s">
        <v>34</v>
      </c>
      <c r="B32" s="5" t="s">
        <v>886</v>
      </c>
      <c r="C32" s="5" t="s">
        <v>825</v>
      </c>
      <c r="D32" s="5" t="s">
        <v>881</v>
      </c>
      <c r="E32" s="5" t="s">
        <v>634</v>
      </c>
      <c r="F32" s="5" t="s">
        <v>887</v>
      </c>
      <c r="G32" s="5" t="s">
        <v>731</v>
      </c>
      <c r="H32" s="13">
        <v>5000</v>
      </c>
      <c r="I32" s="14" t="s">
        <v>882</v>
      </c>
      <c r="J32" s="5">
        <f>COUNT(BASE_ARTICLE!AI2:AI274)</f>
        <v>19</v>
      </c>
    </row>
    <row r="33" spans="1:10" x14ac:dyDescent="0.25">
      <c r="A33" s="5" t="s">
        <v>35</v>
      </c>
      <c r="B33" s="5" t="s">
        <v>888</v>
      </c>
      <c r="C33" s="5" t="s">
        <v>825</v>
      </c>
      <c r="D33" s="5" t="s">
        <v>881</v>
      </c>
      <c r="E33" s="5" t="s">
        <v>634</v>
      </c>
      <c r="F33" s="5" t="s">
        <v>864</v>
      </c>
      <c r="G33" s="5" t="s">
        <v>731</v>
      </c>
      <c r="H33" s="13">
        <v>100</v>
      </c>
      <c r="I33" s="14" t="s">
        <v>882</v>
      </c>
      <c r="J33" s="5">
        <f>COUNT(BASE_ARTICLE!AJ2:AJ274)</f>
        <v>7</v>
      </c>
    </row>
    <row r="34" spans="1:10" x14ac:dyDescent="0.25">
      <c r="A34" s="5" t="s">
        <v>36</v>
      </c>
      <c r="B34" s="5" t="s">
        <v>889</v>
      </c>
      <c r="C34" s="5" t="s">
        <v>825</v>
      </c>
      <c r="D34" s="5" t="s">
        <v>890</v>
      </c>
      <c r="E34" s="5" t="s">
        <v>847</v>
      </c>
      <c r="F34" s="5" t="s">
        <v>891</v>
      </c>
      <c r="G34" s="5" t="s">
        <v>785</v>
      </c>
      <c r="H34" s="13">
        <v>200</v>
      </c>
      <c r="I34" s="14" t="s">
        <v>838</v>
      </c>
      <c r="J34" s="5">
        <f>COUNT(BASE_ARTICLE!AK2:AK274)</f>
        <v>64</v>
      </c>
    </row>
    <row r="35" spans="1:10" x14ac:dyDescent="0.25">
      <c r="A35" s="5" t="s">
        <v>37</v>
      </c>
      <c r="B35" s="5" t="s">
        <v>892</v>
      </c>
      <c r="C35" s="5" t="s">
        <v>825</v>
      </c>
      <c r="D35" s="5" t="s">
        <v>890</v>
      </c>
      <c r="E35" s="5" t="s">
        <v>847</v>
      </c>
      <c r="F35" s="5" t="s">
        <v>891</v>
      </c>
      <c r="G35" s="5" t="s">
        <v>785</v>
      </c>
      <c r="H35" s="13">
        <v>200</v>
      </c>
      <c r="I35" s="14" t="s">
        <v>838</v>
      </c>
      <c r="J35" s="5">
        <f>COUNT(BASE_ARTICLE!AL2:AL274)</f>
        <v>10</v>
      </c>
    </row>
    <row r="36" spans="1:10" x14ac:dyDescent="0.25">
      <c r="A36" s="5" t="s">
        <v>38</v>
      </c>
      <c r="B36" s="5" t="s">
        <v>893</v>
      </c>
      <c r="C36" s="5" t="s">
        <v>825</v>
      </c>
      <c r="D36" s="5" t="s">
        <v>890</v>
      </c>
      <c r="E36" s="5" t="s">
        <v>634</v>
      </c>
      <c r="F36" s="5" t="s">
        <v>894</v>
      </c>
      <c r="G36" s="5" t="s">
        <v>731</v>
      </c>
      <c r="H36" s="13">
        <v>1000</v>
      </c>
      <c r="I36" s="14" t="s">
        <v>838</v>
      </c>
      <c r="J36" s="5">
        <f>COUNT(BASE_ARTICLE!AM2:AM274)</f>
        <v>20</v>
      </c>
    </row>
    <row r="37" spans="1:10" x14ac:dyDescent="0.25">
      <c r="A37" s="5" t="s">
        <v>39</v>
      </c>
      <c r="B37" s="5" t="s">
        <v>895</v>
      </c>
      <c r="C37" s="5" t="s">
        <v>825</v>
      </c>
      <c r="D37" s="5" t="s">
        <v>890</v>
      </c>
      <c r="E37" s="5" t="s">
        <v>858</v>
      </c>
      <c r="F37" s="5" t="s">
        <v>896</v>
      </c>
      <c r="G37" s="5" t="s">
        <v>731</v>
      </c>
      <c r="H37" s="13">
        <v>10</v>
      </c>
      <c r="I37" s="14" t="s">
        <v>838</v>
      </c>
      <c r="J37" s="5">
        <f>COUNT(BASE_ARTICLE!AN2:AN274)</f>
        <v>4</v>
      </c>
    </row>
    <row r="38" spans="1:10" x14ac:dyDescent="0.25">
      <c r="A38" s="5" t="s">
        <v>40</v>
      </c>
      <c r="B38" s="5" t="s">
        <v>897</v>
      </c>
      <c r="C38" s="5" t="s">
        <v>825</v>
      </c>
      <c r="D38" s="5" t="s">
        <v>890</v>
      </c>
      <c r="E38" s="5" t="s">
        <v>868</v>
      </c>
      <c r="F38" s="5" t="s">
        <v>898</v>
      </c>
      <c r="G38" s="5" t="s">
        <v>774</v>
      </c>
      <c r="H38" s="13">
        <v>20</v>
      </c>
      <c r="I38" s="14" t="s">
        <v>838</v>
      </c>
      <c r="J38" s="5">
        <f>COUNT(BASE_ARTICLE!AO2:AO274)</f>
        <v>3</v>
      </c>
    </row>
    <row r="39" spans="1:10" x14ac:dyDescent="0.25">
      <c r="A39" s="5" t="s">
        <v>41</v>
      </c>
      <c r="B39" s="5" t="s">
        <v>899</v>
      </c>
      <c r="C39" s="5" t="s">
        <v>825</v>
      </c>
      <c r="D39" s="5" t="s">
        <v>900</v>
      </c>
      <c r="E39" s="5" t="s">
        <v>901</v>
      </c>
      <c r="F39" s="5" t="s">
        <v>902</v>
      </c>
      <c r="G39" s="5" t="s">
        <v>731</v>
      </c>
      <c r="H39" s="13">
        <v>1</v>
      </c>
      <c r="I39" s="5" t="s">
        <v>849</v>
      </c>
      <c r="J39" s="5">
        <f>COUNT(BASE_ARTICLE!AP2:AP274)</f>
        <v>28</v>
      </c>
    </row>
    <row r="40" spans="1:10" x14ac:dyDescent="0.25">
      <c r="A40" s="5" t="s">
        <v>42</v>
      </c>
      <c r="B40" s="5" t="s">
        <v>903</v>
      </c>
      <c r="C40" s="5" t="s">
        <v>904</v>
      </c>
      <c r="D40" s="5" t="s">
        <v>905</v>
      </c>
      <c r="E40" s="5" t="s">
        <v>906</v>
      </c>
      <c r="F40" s="5" t="s">
        <v>907</v>
      </c>
      <c r="G40" s="5" t="s">
        <v>785</v>
      </c>
      <c r="H40" s="13">
        <v>1000</v>
      </c>
      <c r="I40" s="14" t="s">
        <v>908</v>
      </c>
      <c r="J40" s="5">
        <f>COUNT(BASE_ARTICLE!AQ2:AQ274)</f>
        <v>150</v>
      </c>
    </row>
    <row r="41" spans="1:10" x14ac:dyDescent="0.25">
      <c r="A41" s="5" t="s">
        <v>43</v>
      </c>
      <c r="B41" s="5" t="s">
        <v>909</v>
      </c>
      <c r="C41" s="5" t="s">
        <v>904</v>
      </c>
      <c r="D41" s="5" t="s">
        <v>910</v>
      </c>
      <c r="E41" s="5" t="s">
        <v>911</v>
      </c>
      <c r="F41" s="5" t="s">
        <v>907</v>
      </c>
      <c r="G41" s="5" t="s">
        <v>785</v>
      </c>
      <c r="H41" s="13">
        <v>1000</v>
      </c>
      <c r="I41" s="14" t="s">
        <v>912</v>
      </c>
      <c r="J41" s="5">
        <f>COUNT(BASE_ARTICLE!AR2:AR274)</f>
        <v>40</v>
      </c>
    </row>
    <row r="42" spans="1:10" x14ac:dyDescent="0.25">
      <c r="A42" s="5" t="s">
        <v>44</v>
      </c>
      <c r="B42" s="5" t="s">
        <v>913</v>
      </c>
      <c r="C42" s="5" t="s">
        <v>904</v>
      </c>
      <c r="D42" s="5" t="s">
        <v>914</v>
      </c>
      <c r="E42" s="5" t="s">
        <v>634</v>
      </c>
      <c r="F42" s="5" t="s">
        <v>915</v>
      </c>
      <c r="G42" s="5" t="s">
        <v>916</v>
      </c>
      <c r="H42" s="13">
        <v>1000</v>
      </c>
      <c r="I42" s="5" t="s">
        <v>849</v>
      </c>
      <c r="J42" s="5">
        <f>COUNT(BASE_ARTICLE!AS2:AS274)</f>
        <v>37</v>
      </c>
    </row>
    <row r="43" spans="1:10" x14ac:dyDescent="0.25">
      <c r="A43" s="5" t="s">
        <v>45</v>
      </c>
      <c r="B43" s="5" t="s">
        <v>917</v>
      </c>
      <c r="C43" s="5" t="s">
        <v>904</v>
      </c>
      <c r="D43" s="5" t="s">
        <v>714</v>
      </c>
      <c r="E43" s="5" t="s">
        <v>918</v>
      </c>
      <c r="F43" s="5" t="s">
        <v>915</v>
      </c>
      <c r="G43" s="5" t="s">
        <v>916</v>
      </c>
      <c r="H43" s="13">
        <v>1000</v>
      </c>
      <c r="I43" s="5" t="s">
        <v>849</v>
      </c>
      <c r="J43" s="5">
        <f>COUNT(BASE_ARTICLE!AT2:AT274)</f>
        <v>20</v>
      </c>
    </row>
    <row r="44" spans="1:10" x14ac:dyDescent="0.25">
      <c r="A44" s="5" t="s">
        <v>46</v>
      </c>
      <c r="B44" s="5" t="s">
        <v>919</v>
      </c>
      <c r="C44" s="5" t="s">
        <v>904</v>
      </c>
      <c r="D44" s="5" t="s">
        <v>714</v>
      </c>
      <c r="E44" s="5" t="s">
        <v>918</v>
      </c>
      <c r="F44" s="5" t="s">
        <v>907</v>
      </c>
      <c r="G44" s="5" t="s">
        <v>785</v>
      </c>
      <c r="H44" s="13">
        <v>1000</v>
      </c>
      <c r="I44" s="14" t="s">
        <v>843</v>
      </c>
      <c r="J44" s="5">
        <f>COUNT(BASE_ARTICLE!AU2:AU274)</f>
        <v>20</v>
      </c>
    </row>
    <row r="45" spans="1:10" x14ac:dyDescent="0.25">
      <c r="A45" s="5" t="s">
        <v>47</v>
      </c>
      <c r="B45" s="5" t="s">
        <v>920</v>
      </c>
      <c r="C45" s="5" t="s">
        <v>904</v>
      </c>
      <c r="D45" s="5" t="s">
        <v>712</v>
      </c>
      <c r="E45" s="5" t="s">
        <v>847</v>
      </c>
      <c r="F45" s="5" t="s">
        <v>921</v>
      </c>
      <c r="G45" s="5" t="s">
        <v>785</v>
      </c>
      <c r="H45" s="13">
        <v>100</v>
      </c>
      <c r="I45" s="5" t="s">
        <v>849</v>
      </c>
      <c r="J45" s="5">
        <f>COUNT(BASE_ARTICLE!AV2:AV274)</f>
        <v>25</v>
      </c>
    </row>
    <row r="46" spans="1:10" x14ac:dyDescent="0.25">
      <c r="A46" s="5" t="s">
        <v>48</v>
      </c>
      <c r="B46" s="5" t="s">
        <v>922</v>
      </c>
      <c r="C46" s="5" t="s">
        <v>904</v>
      </c>
      <c r="D46" s="5" t="s">
        <v>712</v>
      </c>
      <c r="E46" s="5" t="s">
        <v>906</v>
      </c>
      <c r="F46" s="5" t="s">
        <v>907</v>
      </c>
      <c r="G46" s="5" t="s">
        <v>785</v>
      </c>
      <c r="H46" s="13">
        <v>1000</v>
      </c>
      <c r="I46" s="5" t="s">
        <v>849</v>
      </c>
      <c r="J46" s="5">
        <f>COUNT(BASE_ARTICLE!AW2:AW274)</f>
        <v>25</v>
      </c>
    </row>
    <row r="47" spans="1:10" x14ac:dyDescent="0.25">
      <c r="A47" s="5" t="s">
        <v>49</v>
      </c>
      <c r="B47" s="5" t="s">
        <v>923</v>
      </c>
      <c r="C47" s="5" t="s">
        <v>904</v>
      </c>
      <c r="D47" s="5" t="s">
        <v>712</v>
      </c>
      <c r="E47" s="5" t="s">
        <v>592</v>
      </c>
      <c r="F47" s="5" t="s">
        <v>915</v>
      </c>
      <c r="G47" s="5" t="s">
        <v>916</v>
      </c>
      <c r="H47" s="13">
        <v>1000</v>
      </c>
      <c r="I47" s="14" t="s">
        <v>843</v>
      </c>
      <c r="J47" s="5">
        <f>COUNT(BASE_ARTICLE!AX2:AX274)</f>
        <v>25</v>
      </c>
    </row>
    <row r="48" spans="1:10" x14ac:dyDescent="0.25">
      <c r="A48" s="5" t="s">
        <v>50</v>
      </c>
      <c r="B48" s="5" t="s">
        <v>924</v>
      </c>
      <c r="C48" s="5" t="s">
        <v>904</v>
      </c>
      <c r="D48" s="5" t="s">
        <v>716</v>
      </c>
      <c r="E48" s="5" t="s">
        <v>847</v>
      </c>
      <c r="F48" s="5" t="s">
        <v>921</v>
      </c>
      <c r="G48" s="5" t="s">
        <v>785</v>
      </c>
      <c r="H48" s="13">
        <v>100</v>
      </c>
      <c r="I48" s="14" t="s">
        <v>843</v>
      </c>
      <c r="J48" s="5">
        <f>COUNT(BASE_ARTICLE!AY2:AY274)</f>
        <v>13</v>
      </c>
    </row>
    <row r="49" spans="1:10" x14ac:dyDescent="0.25">
      <c r="A49" s="5" t="s">
        <v>51</v>
      </c>
      <c r="B49" s="5" t="s">
        <v>925</v>
      </c>
      <c r="C49" s="5" t="s">
        <v>904</v>
      </c>
      <c r="D49" s="5" t="s">
        <v>716</v>
      </c>
      <c r="E49" s="5" t="s">
        <v>906</v>
      </c>
      <c r="F49" s="5" t="s">
        <v>907</v>
      </c>
      <c r="G49" s="5" t="s">
        <v>785</v>
      </c>
      <c r="H49" s="13">
        <v>1000</v>
      </c>
      <c r="I49" s="14" t="s">
        <v>843</v>
      </c>
      <c r="J49" s="5">
        <f>COUNT(BASE_ARTICLE!AZ2:AZ274)</f>
        <v>13</v>
      </c>
    </row>
    <row r="50" spans="1:10" x14ac:dyDescent="0.25">
      <c r="A50" s="5" t="s">
        <v>52</v>
      </c>
      <c r="B50" s="5" t="s">
        <v>926</v>
      </c>
      <c r="C50" s="5" t="s">
        <v>904</v>
      </c>
      <c r="D50" s="5" t="s">
        <v>927</v>
      </c>
      <c r="E50" s="5" t="s">
        <v>906</v>
      </c>
      <c r="F50" s="5" t="s">
        <v>907</v>
      </c>
      <c r="G50" s="5" t="s">
        <v>785</v>
      </c>
      <c r="H50" s="13">
        <v>1000</v>
      </c>
      <c r="I50" s="5" t="s">
        <v>869</v>
      </c>
      <c r="J50" s="5">
        <f>COUNT(BASE_ARTICLE!BA2:BA274)</f>
        <v>10</v>
      </c>
    </row>
    <row r="51" spans="1:10" x14ac:dyDescent="0.25">
      <c r="A51" s="5" t="s">
        <v>53</v>
      </c>
      <c r="B51" s="5" t="s">
        <v>928</v>
      </c>
      <c r="C51" s="5" t="s">
        <v>904</v>
      </c>
      <c r="D51" s="5" t="s">
        <v>929</v>
      </c>
      <c r="E51" s="5" t="s">
        <v>906</v>
      </c>
      <c r="F51" s="5" t="s">
        <v>930</v>
      </c>
      <c r="G51" s="5" t="s">
        <v>785</v>
      </c>
      <c r="H51" s="13">
        <v>20000</v>
      </c>
      <c r="I51" s="5" t="s">
        <v>849</v>
      </c>
      <c r="J51" s="5">
        <f>COUNT(BASE_ARTICLE!BB2:BB274)</f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2A44"/>
  </sheetPr>
  <dimension ref="A1:H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3" width="20" customWidth="1"/>
    <col min="4" max="4" width="10" customWidth="1"/>
    <col min="5" max="5" width="12" customWidth="1"/>
    <col min="6" max="6" width="40" customWidth="1"/>
    <col min="7" max="7" width="34" customWidth="1"/>
    <col min="8" max="8" width="20" customWidth="1"/>
  </cols>
  <sheetData>
    <row r="1" spans="1:8" ht="30" customHeight="1" x14ac:dyDescent="0.25">
      <c r="A1" s="1" t="s">
        <v>1028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822</v>
      </c>
      <c r="H1" s="1" t="s">
        <v>823</v>
      </c>
    </row>
    <row r="2" spans="1:8" x14ac:dyDescent="0.25">
      <c r="A2" s="5" t="s">
        <v>54</v>
      </c>
      <c r="B2" s="5" t="s">
        <v>936</v>
      </c>
      <c r="C2" s="5" t="s">
        <v>937</v>
      </c>
      <c r="D2" s="5" t="s">
        <v>734</v>
      </c>
      <c r="E2" s="5" t="s">
        <v>938</v>
      </c>
      <c r="F2" s="5" t="s">
        <v>939</v>
      </c>
      <c r="G2" s="5" t="s">
        <v>869</v>
      </c>
      <c r="H2" s="5">
        <f>COUNT(BASE_ARTICLE!BC2:BC274)</f>
        <v>150</v>
      </c>
    </row>
    <row r="3" spans="1:8" x14ac:dyDescent="0.25">
      <c r="A3" s="5" t="s">
        <v>55</v>
      </c>
      <c r="B3" s="5" t="s">
        <v>940</v>
      </c>
      <c r="C3" s="5" t="s">
        <v>937</v>
      </c>
      <c r="D3" s="5" t="s">
        <v>734</v>
      </c>
      <c r="E3" s="5" t="s">
        <v>938</v>
      </c>
      <c r="F3" s="5" t="s">
        <v>941</v>
      </c>
      <c r="G3" s="5" t="s">
        <v>869</v>
      </c>
      <c r="H3" s="5">
        <f>COUNT(BASE_ARTICLE!BD2:BD274)</f>
        <v>9</v>
      </c>
    </row>
    <row r="4" spans="1:8" x14ac:dyDescent="0.25">
      <c r="A4" s="5" t="s">
        <v>56</v>
      </c>
      <c r="B4" s="5" t="s">
        <v>942</v>
      </c>
      <c r="C4" s="5" t="s">
        <v>712</v>
      </c>
      <c r="D4" s="5" t="s">
        <v>734</v>
      </c>
      <c r="E4" s="5" t="s">
        <v>938</v>
      </c>
      <c r="F4" s="5" t="s">
        <v>943</v>
      </c>
      <c r="G4" s="14" t="s">
        <v>944</v>
      </c>
      <c r="H4" s="5">
        <f>COUNT(BASE_ARTICLE!BE2:BE274)</f>
        <v>25</v>
      </c>
    </row>
    <row r="5" spans="1:8" x14ac:dyDescent="0.25">
      <c r="A5" s="5" t="s">
        <v>57</v>
      </c>
      <c r="B5" s="5" t="s">
        <v>945</v>
      </c>
      <c r="C5" s="5" t="s">
        <v>712</v>
      </c>
      <c r="D5" s="5" t="s">
        <v>734</v>
      </c>
      <c r="E5" s="5" t="s">
        <v>938</v>
      </c>
      <c r="F5" s="5" t="s">
        <v>946</v>
      </c>
      <c r="G5" s="14" t="s">
        <v>843</v>
      </c>
      <c r="H5" s="5">
        <f>COUNT(BASE_ARTICLE!BF2:BF274)</f>
        <v>25</v>
      </c>
    </row>
    <row r="6" spans="1:8" x14ac:dyDescent="0.25">
      <c r="A6" s="5" t="s">
        <v>58</v>
      </c>
      <c r="B6" s="5" t="s">
        <v>947</v>
      </c>
      <c r="C6" s="5" t="s">
        <v>948</v>
      </c>
      <c r="D6" s="5" t="s">
        <v>734</v>
      </c>
      <c r="E6" s="5" t="s">
        <v>938</v>
      </c>
      <c r="F6" s="5" t="s">
        <v>949</v>
      </c>
      <c r="G6" s="14" t="s">
        <v>843</v>
      </c>
      <c r="H6" s="5">
        <f>COUNT(BASE_ARTICLE!BG2:BG274)</f>
        <v>29</v>
      </c>
    </row>
    <row r="7" spans="1:8" x14ac:dyDescent="0.25">
      <c r="A7" s="5" t="s">
        <v>59</v>
      </c>
      <c r="B7" s="5" t="s">
        <v>950</v>
      </c>
      <c r="C7" s="5" t="s">
        <v>716</v>
      </c>
      <c r="D7" s="5" t="s">
        <v>734</v>
      </c>
      <c r="E7" s="5" t="s">
        <v>938</v>
      </c>
      <c r="F7" s="5" t="s">
        <v>951</v>
      </c>
      <c r="G7" s="14" t="s">
        <v>843</v>
      </c>
      <c r="H7" s="5">
        <f>COUNT(BASE_ARTICLE!BH2:BH274)</f>
        <v>13</v>
      </c>
    </row>
    <row r="8" spans="1:8" x14ac:dyDescent="0.25">
      <c r="A8" s="5" t="s">
        <v>60</v>
      </c>
      <c r="B8" s="5" t="s">
        <v>952</v>
      </c>
      <c r="C8" s="5" t="s">
        <v>716</v>
      </c>
      <c r="D8" s="5" t="s">
        <v>734</v>
      </c>
      <c r="E8" s="5" t="s">
        <v>938</v>
      </c>
      <c r="F8" s="5" t="s">
        <v>953</v>
      </c>
      <c r="G8" s="14" t="s">
        <v>843</v>
      </c>
      <c r="H8" s="5">
        <f>COUNT(BASE_ARTICLE!BI2:BI274)</f>
        <v>9</v>
      </c>
    </row>
    <row r="9" spans="1:8" x14ac:dyDescent="0.25">
      <c r="A9" s="5" t="s">
        <v>61</v>
      </c>
      <c r="B9" s="5" t="s">
        <v>954</v>
      </c>
      <c r="C9" s="5" t="s">
        <v>714</v>
      </c>
      <c r="D9" s="5" t="s">
        <v>734</v>
      </c>
      <c r="E9" s="5" t="s">
        <v>938</v>
      </c>
      <c r="F9" s="5" t="s">
        <v>955</v>
      </c>
      <c r="G9" s="14" t="s">
        <v>843</v>
      </c>
      <c r="H9" s="5">
        <f>COUNT(BASE_ARTICLE!BJ2:BJ274)</f>
        <v>20</v>
      </c>
    </row>
    <row r="10" spans="1:8" x14ac:dyDescent="0.25">
      <c r="A10" s="5" t="s">
        <v>62</v>
      </c>
      <c r="B10" s="5" t="s">
        <v>956</v>
      </c>
      <c r="C10" s="5" t="s">
        <v>714</v>
      </c>
      <c r="D10" s="5" t="s">
        <v>734</v>
      </c>
      <c r="E10" s="5" t="s">
        <v>938</v>
      </c>
      <c r="F10" s="5" t="s">
        <v>957</v>
      </c>
      <c r="G10" s="14" t="s">
        <v>843</v>
      </c>
      <c r="H10" s="5">
        <f>COUNT(BASE_ARTICLE!BK2:BK274)</f>
        <v>20</v>
      </c>
    </row>
    <row r="11" spans="1:8" x14ac:dyDescent="0.25">
      <c r="A11" s="5" t="s">
        <v>63</v>
      </c>
      <c r="B11" s="5" t="s">
        <v>958</v>
      </c>
      <c r="C11" s="5" t="s">
        <v>714</v>
      </c>
      <c r="D11" s="5" t="s">
        <v>734</v>
      </c>
      <c r="E11" s="5" t="s">
        <v>938</v>
      </c>
      <c r="F11" s="5" t="s">
        <v>959</v>
      </c>
      <c r="G11" s="14" t="s">
        <v>843</v>
      </c>
      <c r="H11" s="5">
        <f>COUNT(BASE_ARTICLE!BL2:BL274)</f>
        <v>14</v>
      </c>
    </row>
    <row r="12" spans="1:8" x14ac:dyDescent="0.25">
      <c r="A12" s="5" t="s">
        <v>64</v>
      </c>
      <c r="B12" s="5" t="s">
        <v>960</v>
      </c>
      <c r="C12" s="5" t="s">
        <v>718</v>
      </c>
      <c r="D12" s="5" t="s">
        <v>734</v>
      </c>
      <c r="E12" s="5" t="s">
        <v>938</v>
      </c>
      <c r="F12" s="5" t="s">
        <v>961</v>
      </c>
      <c r="G12" s="5" t="s">
        <v>849</v>
      </c>
      <c r="H12" s="5">
        <f>COUNT(BASE_ARTICLE!BM2:BM274)</f>
        <v>166</v>
      </c>
    </row>
    <row r="13" spans="1:8" x14ac:dyDescent="0.25">
      <c r="A13" s="5" t="s">
        <v>65</v>
      </c>
      <c r="B13" s="5" t="s">
        <v>962</v>
      </c>
      <c r="C13" s="5" t="s">
        <v>718</v>
      </c>
      <c r="D13" s="5" t="s">
        <v>734</v>
      </c>
      <c r="E13" s="5" t="s">
        <v>938</v>
      </c>
      <c r="F13" s="5" t="s">
        <v>963</v>
      </c>
      <c r="G13" s="14" t="s">
        <v>964</v>
      </c>
      <c r="H13" s="5">
        <f>COUNT(BASE_ARTICLE!BN2:BN274)</f>
        <v>51</v>
      </c>
    </row>
    <row r="14" spans="1:8" x14ac:dyDescent="0.25">
      <c r="A14" s="5" t="s">
        <v>66</v>
      </c>
      <c r="B14" s="5" t="s">
        <v>965</v>
      </c>
      <c r="C14" s="5" t="s">
        <v>718</v>
      </c>
      <c r="D14" s="5" t="s">
        <v>734</v>
      </c>
      <c r="E14" s="5" t="s">
        <v>938</v>
      </c>
      <c r="F14" s="5" t="s">
        <v>966</v>
      </c>
      <c r="G14" s="5" t="s">
        <v>849</v>
      </c>
      <c r="H14" s="5">
        <f>COUNT(BASE_ARTICLE!BO2:BO274)</f>
        <v>24</v>
      </c>
    </row>
    <row r="15" spans="1:8" x14ac:dyDescent="0.25">
      <c r="A15" s="5" t="s">
        <v>67</v>
      </c>
      <c r="B15" s="5" t="s">
        <v>967</v>
      </c>
      <c r="C15" s="5" t="s">
        <v>718</v>
      </c>
      <c r="D15" s="5" t="s">
        <v>734</v>
      </c>
      <c r="E15" s="5" t="s">
        <v>938</v>
      </c>
      <c r="F15" s="5" t="s">
        <v>968</v>
      </c>
      <c r="G15" s="5" t="s">
        <v>849</v>
      </c>
      <c r="H15" s="5">
        <f>COUNT(BASE_ARTICLE!BP2:BP274)</f>
        <v>14</v>
      </c>
    </row>
    <row r="16" spans="1:8" x14ac:dyDescent="0.25">
      <c r="A16" s="5" t="s">
        <v>68</v>
      </c>
      <c r="B16" s="5" t="s">
        <v>969</v>
      </c>
      <c r="C16" s="5" t="s">
        <v>718</v>
      </c>
      <c r="D16" s="5" t="s">
        <v>734</v>
      </c>
      <c r="E16" s="5" t="s">
        <v>938</v>
      </c>
      <c r="F16" s="5" t="s">
        <v>970</v>
      </c>
      <c r="G16" s="5" t="s">
        <v>849</v>
      </c>
      <c r="H16" s="5">
        <f>COUNT(BASE_ARTICLE!BQ2:BQ274)</f>
        <v>74</v>
      </c>
    </row>
    <row r="17" spans="1:8" x14ac:dyDescent="0.25">
      <c r="A17" s="5" t="s">
        <v>69</v>
      </c>
      <c r="B17" s="5" t="s">
        <v>971</v>
      </c>
      <c r="C17" s="5" t="s">
        <v>718</v>
      </c>
      <c r="D17" s="5" t="s">
        <v>734</v>
      </c>
      <c r="E17" s="5" t="s">
        <v>938</v>
      </c>
      <c r="F17" s="5" t="s">
        <v>972</v>
      </c>
      <c r="G17" s="5" t="s">
        <v>849</v>
      </c>
      <c r="H17" s="5">
        <f>COUNT(BASE_ARTICLE!BR2:BR274)</f>
        <v>27</v>
      </c>
    </row>
    <row r="18" spans="1:8" x14ac:dyDescent="0.25">
      <c r="A18" s="5" t="s">
        <v>70</v>
      </c>
      <c r="B18" s="5" t="s">
        <v>973</v>
      </c>
      <c r="C18" s="5" t="s">
        <v>718</v>
      </c>
      <c r="D18" s="5" t="s">
        <v>734</v>
      </c>
      <c r="E18" s="5" t="s">
        <v>938</v>
      </c>
      <c r="F18" s="5" t="s">
        <v>974</v>
      </c>
      <c r="G18" s="5" t="s">
        <v>869</v>
      </c>
      <c r="H18" s="5">
        <f>COUNT(BASE_ARTICLE!BS2:BS274)</f>
        <v>10</v>
      </c>
    </row>
    <row r="19" spans="1:8" x14ac:dyDescent="0.25">
      <c r="A19" s="5" t="s">
        <v>71</v>
      </c>
      <c r="B19" s="5" t="s">
        <v>975</v>
      </c>
      <c r="C19" s="5" t="s">
        <v>710</v>
      </c>
      <c r="D19" s="5" t="s">
        <v>756</v>
      </c>
      <c r="E19" s="5" t="s">
        <v>938</v>
      </c>
      <c r="F19" s="5" t="s">
        <v>976</v>
      </c>
      <c r="G19" s="5" t="s">
        <v>849</v>
      </c>
      <c r="H19" s="5">
        <f>COUNT(BASE_ARTICLE!BT2:BT274)</f>
        <v>40</v>
      </c>
    </row>
    <row r="20" spans="1:8" x14ac:dyDescent="0.25">
      <c r="A20" s="5" t="s">
        <v>72</v>
      </c>
      <c r="B20" s="5" t="s">
        <v>977</v>
      </c>
      <c r="C20" s="5" t="s">
        <v>706</v>
      </c>
      <c r="D20" s="5" t="s">
        <v>756</v>
      </c>
      <c r="E20" s="5" t="s">
        <v>938</v>
      </c>
      <c r="F20" s="5" t="s">
        <v>978</v>
      </c>
      <c r="G20" s="5" t="s">
        <v>979</v>
      </c>
      <c r="H20" s="5">
        <f>COUNT(BASE_ARTICLE!BU2:BU274)</f>
        <v>28</v>
      </c>
    </row>
    <row r="21" spans="1:8" x14ac:dyDescent="0.25">
      <c r="A21" s="5" t="s">
        <v>73</v>
      </c>
      <c r="B21" s="5" t="s">
        <v>980</v>
      </c>
      <c r="C21" s="5" t="s">
        <v>710</v>
      </c>
      <c r="D21" s="5" t="s">
        <v>756</v>
      </c>
      <c r="E21" s="5" t="s">
        <v>938</v>
      </c>
      <c r="F21" s="5" t="s">
        <v>981</v>
      </c>
      <c r="G21" s="14" t="s">
        <v>843</v>
      </c>
      <c r="H21" s="5">
        <f>COUNT(BASE_ARTICLE!BV2:BV274)</f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2A44"/>
  </sheetPr>
  <dimension ref="A1:F21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2" width="24" customWidth="1"/>
    <col min="3" max="3" width="14" customWidth="1"/>
    <col min="4" max="4" width="30" customWidth="1"/>
    <col min="5" max="5" width="32" customWidth="1"/>
    <col min="6" max="6" width="18" customWidth="1"/>
  </cols>
  <sheetData>
    <row r="1" spans="1:6" ht="30" customHeight="1" x14ac:dyDescent="0.25">
      <c r="A1" s="1" t="s">
        <v>722</v>
      </c>
      <c r="B1" s="1" t="s">
        <v>3</v>
      </c>
      <c r="C1" s="1" t="s">
        <v>982</v>
      </c>
      <c r="D1" s="1" t="s">
        <v>983</v>
      </c>
      <c r="E1" s="1" t="s">
        <v>984</v>
      </c>
      <c r="F1" s="1" t="s">
        <v>822</v>
      </c>
    </row>
    <row r="2" spans="1:6" x14ac:dyDescent="0.25">
      <c r="A2" s="5" t="s">
        <v>985</v>
      </c>
      <c r="B2" s="5" t="s">
        <v>914</v>
      </c>
      <c r="C2" s="5" t="s">
        <v>986</v>
      </c>
      <c r="D2" s="5" t="s">
        <v>977</v>
      </c>
      <c r="E2" s="5" t="s">
        <v>987</v>
      </c>
      <c r="F2" s="5" t="s">
        <v>849</v>
      </c>
    </row>
    <row r="3" spans="1:6" x14ac:dyDescent="0.25">
      <c r="A3" s="5" t="s">
        <v>988</v>
      </c>
      <c r="B3" s="5" t="s">
        <v>929</v>
      </c>
      <c r="C3" s="5" t="s">
        <v>906</v>
      </c>
      <c r="D3" s="5" t="s">
        <v>977</v>
      </c>
      <c r="E3" s="5" t="s">
        <v>989</v>
      </c>
      <c r="F3" s="5" t="s">
        <v>849</v>
      </c>
    </row>
    <row r="4" spans="1:6" x14ac:dyDescent="0.25">
      <c r="A4" s="5" t="s">
        <v>990</v>
      </c>
      <c r="B4" s="5" t="s">
        <v>929</v>
      </c>
      <c r="C4" s="5" t="s">
        <v>986</v>
      </c>
      <c r="D4" s="5" t="s">
        <v>977</v>
      </c>
      <c r="E4" s="5" t="s">
        <v>989</v>
      </c>
      <c r="F4" s="5" t="s">
        <v>849</v>
      </c>
    </row>
    <row r="5" spans="1:6" x14ac:dyDescent="0.25">
      <c r="A5" s="5" t="s">
        <v>991</v>
      </c>
      <c r="B5" s="5" t="s">
        <v>929</v>
      </c>
      <c r="C5" s="5" t="s">
        <v>992</v>
      </c>
      <c r="D5" s="5" t="s">
        <v>977</v>
      </c>
      <c r="E5" s="5" t="s">
        <v>989</v>
      </c>
      <c r="F5" s="5" t="s">
        <v>849</v>
      </c>
    </row>
    <row r="6" spans="1:6" x14ac:dyDescent="0.25">
      <c r="A6" s="5" t="s">
        <v>993</v>
      </c>
      <c r="B6" s="5" t="s">
        <v>994</v>
      </c>
      <c r="C6" s="5" t="s">
        <v>995</v>
      </c>
      <c r="D6" s="5" t="s">
        <v>708</v>
      </c>
      <c r="E6" s="5" t="s">
        <v>996</v>
      </c>
      <c r="F6" s="14" t="s">
        <v>843</v>
      </c>
    </row>
    <row r="7" spans="1:6" x14ac:dyDescent="0.25">
      <c r="A7" s="5" t="s">
        <v>997</v>
      </c>
      <c r="B7" s="5" t="s">
        <v>714</v>
      </c>
      <c r="C7" s="5" t="s">
        <v>906</v>
      </c>
      <c r="D7" s="5" t="s">
        <v>998</v>
      </c>
      <c r="E7" s="5" t="s">
        <v>989</v>
      </c>
      <c r="F7" s="14" t="s">
        <v>843</v>
      </c>
    </row>
    <row r="8" spans="1:6" x14ac:dyDescent="0.25">
      <c r="A8" s="5" t="s">
        <v>999</v>
      </c>
      <c r="B8" s="5" t="s">
        <v>714</v>
      </c>
      <c r="C8" s="5" t="s">
        <v>906</v>
      </c>
      <c r="D8" s="5" t="s">
        <v>956</v>
      </c>
      <c r="E8" s="5" t="s">
        <v>989</v>
      </c>
      <c r="F8" s="14" t="s">
        <v>843</v>
      </c>
    </row>
    <row r="9" spans="1:6" x14ac:dyDescent="0.25">
      <c r="A9" s="5" t="s">
        <v>1000</v>
      </c>
      <c r="B9" s="5" t="s">
        <v>714</v>
      </c>
      <c r="C9" s="5" t="s">
        <v>901</v>
      </c>
      <c r="D9" s="5" t="s">
        <v>998</v>
      </c>
      <c r="E9" s="5" t="s">
        <v>1001</v>
      </c>
      <c r="F9" s="14" t="s">
        <v>843</v>
      </c>
    </row>
    <row r="10" spans="1:6" x14ac:dyDescent="0.25">
      <c r="A10" s="5" t="s">
        <v>1002</v>
      </c>
      <c r="B10" s="5" t="s">
        <v>714</v>
      </c>
      <c r="C10" s="5" t="s">
        <v>901</v>
      </c>
      <c r="D10" s="5" t="s">
        <v>998</v>
      </c>
      <c r="E10" s="5" t="s">
        <v>1003</v>
      </c>
      <c r="F10" s="14" t="s">
        <v>843</v>
      </c>
    </row>
    <row r="11" spans="1:6" x14ac:dyDescent="0.25">
      <c r="A11" s="5" t="s">
        <v>1004</v>
      </c>
      <c r="B11" s="5" t="s">
        <v>1005</v>
      </c>
      <c r="C11" s="5" t="s">
        <v>906</v>
      </c>
      <c r="D11" s="5" t="s">
        <v>1006</v>
      </c>
      <c r="E11" s="5" t="s">
        <v>989</v>
      </c>
      <c r="F11" s="5" t="s">
        <v>849</v>
      </c>
    </row>
    <row r="12" spans="1:6" x14ac:dyDescent="0.25">
      <c r="A12" s="5" t="s">
        <v>1007</v>
      </c>
      <c r="B12" s="5" t="s">
        <v>1005</v>
      </c>
      <c r="C12" s="5" t="s">
        <v>868</v>
      </c>
      <c r="D12" s="5" t="s">
        <v>1006</v>
      </c>
      <c r="E12" s="5" t="s">
        <v>989</v>
      </c>
      <c r="F12" s="5" t="s">
        <v>849</v>
      </c>
    </row>
    <row r="13" spans="1:6" x14ac:dyDescent="0.25">
      <c r="A13" s="5" t="s">
        <v>1008</v>
      </c>
      <c r="B13" s="5" t="s">
        <v>1005</v>
      </c>
      <c r="C13" s="5" t="s">
        <v>868</v>
      </c>
      <c r="D13" s="5" t="s">
        <v>1006</v>
      </c>
      <c r="E13" s="5" t="s">
        <v>989</v>
      </c>
      <c r="F13" s="5" t="s">
        <v>849</v>
      </c>
    </row>
    <row r="14" spans="1:6" x14ac:dyDescent="0.25">
      <c r="A14" s="5" t="s">
        <v>1009</v>
      </c>
      <c r="B14" s="5" t="s">
        <v>1010</v>
      </c>
      <c r="C14" s="5" t="s">
        <v>901</v>
      </c>
      <c r="D14" s="5" t="s">
        <v>960</v>
      </c>
      <c r="E14" s="5" t="s">
        <v>1011</v>
      </c>
      <c r="F14" s="14" t="s">
        <v>843</v>
      </c>
    </row>
    <row r="15" spans="1:6" x14ac:dyDescent="0.25">
      <c r="A15" s="5" t="s">
        <v>1012</v>
      </c>
      <c r="B15" s="5" t="s">
        <v>1010</v>
      </c>
      <c r="C15" s="5" t="s">
        <v>901</v>
      </c>
      <c r="D15" s="5" t="s">
        <v>971</v>
      </c>
      <c r="E15" s="5" t="s">
        <v>1011</v>
      </c>
      <c r="F15" s="14" t="s">
        <v>843</v>
      </c>
    </row>
    <row r="16" spans="1:6" x14ac:dyDescent="0.25">
      <c r="A16" s="5" t="s">
        <v>1013</v>
      </c>
      <c r="B16" s="5" t="s">
        <v>1010</v>
      </c>
      <c r="C16" s="5" t="s">
        <v>901</v>
      </c>
      <c r="D16" s="5" t="s">
        <v>977</v>
      </c>
      <c r="E16" s="5" t="s">
        <v>1011</v>
      </c>
      <c r="F16" s="14" t="s">
        <v>843</v>
      </c>
    </row>
    <row r="17" spans="1:6" x14ac:dyDescent="0.25">
      <c r="A17" s="5" t="s">
        <v>1014</v>
      </c>
      <c r="B17" s="5" t="s">
        <v>1010</v>
      </c>
      <c r="C17" s="5" t="s">
        <v>901</v>
      </c>
      <c r="D17" s="5" t="s">
        <v>704</v>
      </c>
      <c r="E17" s="5" t="s">
        <v>1015</v>
      </c>
      <c r="F17" s="14" t="s">
        <v>882</v>
      </c>
    </row>
    <row r="18" spans="1:6" x14ac:dyDescent="0.25">
      <c r="A18" s="5" t="s">
        <v>1016</v>
      </c>
      <c r="B18" s="5" t="s">
        <v>1010</v>
      </c>
      <c r="C18" s="5" t="s">
        <v>901</v>
      </c>
      <c r="D18" s="5" t="s">
        <v>975</v>
      </c>
      <c r="E18" s="5" t="s">
        <v>1011</v>
      </c>
      <c r="F18" s="14" t="s">
        <v>843</v>
      </c>
    </row>
    <row r="19" spans="1:6" x14ac:dyDescent="0.25">
      <c r="A19" s="5" t="s">
        <v>1017</v>
      </c>
      <c r="B19" s="5" t="s">
        <v>1010</v>
      </c>
      <c r="C19" s="5" t="s">
        <v>901</v>
      </c>
      <c r="D19" s="5" t="s">
        <v>1018</v>
      </c>
      <c r="E19" s="5" t="s">
        <v>1011</v>
      </c>
      <c r="F19" s="14" t="s">
        <v>843</v>
      </c>
    </row>
    <row r="20" spans="1:6" x14ac:dyDescent="0.25">
      <c r="A20" s="5" t="s">
        <v>1019</v>
      </c>
      <c r="B20" s="5" t="s">
        <v>1010</v>
      </c>
      <c r="C20" s="5" t="s">
        <v>901</v>
      </c>
      <c r="D20" s="5" t="s">
        <v>1020</v>
      </c>
      <c r="E20" s="5" t="s">
        <v>1011</v>
      </c>
      <c r="F20" s="14" t="s">
        <v>843</v>
      </c>
    </row>
    <row r="21" spans="1:6" x14ac:dyDescent="0.25">
      <c r="A21" s="5" t="s">
        <v>1021</v>
      </c>
      <c r="B21" s="5" t="s">
        <v>1010</v>
      </c>
      <c r="C21" s="5" t="s">
        <v>901</v>
      </c>
      <c r="D21" s="5" t="s">
        <v>1022</v>
      </c>
      <c r="E21" s="5" t="s">
        <v>1011</v>
      </c>
      <c r="F21" s="14" t="s">
        <v>843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2A44"/>
  </sheetPr>
  <dimension ref="A1:C23"/>
  <sheetViews>
    <sheetView showGridLines="0" zoomScaleNormal="100" workbookViewId="0"/>
  </sheetViews>
  <sheetFormatPr baseColWidth="10" defaultColWidth="8.7109375" defaultRowHeight="15" x14ac:dyDescent="0.25"/>
  <cols>
    <col min="1" max="1" width="36" customWidth="1"/>
    <col min="2" max="2" width="14" customWidth="1"/>
    <col min="3" max="3" width="12" customWidth="1"/>
  </cols>
  <sheetData>
    <row r="1" spans="1:3" ht="18" x14ac:dyDescent="0.25">
      <c r="A1" s="6" t="s">
        <v>1023</v>
      </c>
    </row>
    <row r="4" spans="1:3" ht="30" customHeight="1" x14ac:dyDescent="0.25">
      <c r="A4" s="1" t="s">
        <v>3</v>
      </c>
      <c r="B4" s="1" t="s">
        <v>1024</v>
      </c>
      <c r="C4" s="1" t="s">
        <v>1025</v>
      </c>
    </row>
    <row r="5" spans="1:3" x14ac:dyDescent="0.25">
      <c r="A5" s="5" t="s">
        <v>77</v>
      </c>
      <c r="B5" s="5">
        <f>COUNTIF(BASE_ARTICLE!$D$2:$D$274,A5)</f>
        <v>76</v>
      </c>
      <c r="C5" s="15">
        <f t="shared" ref="C5:C12" si="0">B5/$B$13</f>
        <v>0.2783882783882784</v>
      </c>
    </row>
    <row r="6" spans="1:3" x14ac:dyDescent="0.25">
      <c r="A6" s="5" t="s">
        <v>242</v>
      </c>
      <c r="B6" s="5">
        <f>COUNTIF(BASE_ARTICLE!$D$2:$D$274,A6)</f>
        <v>47</v>
      </c>
      <c r="C6" s="15">
        <f t="shared" si="0"/>
        <v>0.17216117216117216</v>
      </c>
    </row>
    <row r="7" spans="1:3" x14ac:dyDescent="0.25">
      <c r="A7" s="5" t="s">
        <v>345</v>
      </c>
      <c r="B7" s="5">
        <f>COUNTIF(BASE_ARTICLE!$D$2:$D$274,A7)</f>
        <v>37</v>
      </c>
      <c r="C7" s="15">
        <f t="shared" si="0"/>
        <v>0.13553113553113552</v>
      </c>
    </row>
    <row r="8" spans="1:3" x14ac:dyDescent="0.25">
      <c r="A8" s="5" t="s">
        <v>422</v>
      </c>
      <c r="B8" s="5">
        <f>COUNTIF(BASE_ARTICLE!$D$2:$D$274,A8)</f>
        <v>39</v>
      </c>
      <c r="C8" s="15">
        <f t="shared" si="0"/>
        <v>0.14285714285714285</v>
      </c>
    </row>
    <row r="9" spans="1:3" x14ac:dyDescent="0.25">
      <c r="A9" s="5" t="s">
        <v>511</v>
      </c>
      <c r="B9" s="5">
        <f>COUNTIF(BASE_ARTICLE!$D$2:$D$274,A9)</f>
        <v>27</v>
      </c>
      <c r="C9" s="15">
        <f t="shared" si="0"/>
        <v>9.8901098901098897E-2</v>
      </c>
    </row>
    <row r="10" spans="1:3" x14ac:dyDescent="0.25">
      <c r="A10" s="5" t="s">
        <v>569</v>
      </c>
      <c r="B10" s="5">
        <f>COUNTIF(BASE_ARTICLE!$D$2:$D$274,A10)</f>
        <v>17</v>
      </c>
      <c r="C10" s="15">
        <f t="shared" si="0"/>
        <v>6.2271062271062272E-2</v>
      </c>
    </row>
    <row r="11" spans="1:3" x14ac:dyDescent="0.25">
      <c r="A11" s="5" t="s">
        <v>611</v>
      </c>
      <c r="B11" s="5">
        <f>COUNTIF(BASE_ARTICLE!$D$2:$D$274,A11)</f>
        <v>22</v>
      </c>
      <c r="C11" s="15">
        <f t="shared" si="0"/>
        <v>8.0586080586080591E-2</v>
      </c>
    </row>
    <row r="12" spans="1:3" x14ac:dyDescent="0.25">
      <c r="A12" s="5" t="s">
        <v>661</v>
      </c>
      <c r="B12" s="5">
        <f>COUNTIF(BASE_ARTICLE!$D$2:$D$274,A12)</f>
        <v>8</v>
      </c>
      <c r="C12" s="15">
        <f t="shared" si="0"/>
        <v>2.9304029304029304E-2</v>
      </c>
    </row>
    <row r="13" spans="1:3" x14ac:dyDescent="0.25">
      <c r="A13" s="16" t="s">
        <v>1026</v>
      </c>
      <c r="B13" s="16">
        <f>SUM(B5:B12)</f>
        <v>273</v>
      </c>
      <c r="C13" s="17">
        <f>SUM(C5:C12)</f>
        <v>1</v>
      </c>
    </row>
    <row r="16" spans="1:3" x14ac:dyDescent="0.25">
      <c r="A16" s="18" t="s">
        <v>726</v>
      </c>
      <c r="B16" s="18" t="s">
        <v>1024</v>
      </c>
    </row>
    <row r="17" spans="1:2" x14ac:dyDescent="0.25">
      <c r="A17" s="5" t="s">
        <v>734</v>
      </c>
      <c r="B17" s="5">
        <f>COUNTIF(ATTRIBUTS_ARTICLE!$F$2:$F$274,A17)</f>
        <v>204</v>
      </c>
    </row>
    <row r="18" spans="1:2" x14ac:dyDescent="0.25">
      <c r="A18" s="5" t="s">
        <v>756</v>
      </c>
      <c r="B18" s="5">
        <f>COUNTIF(ATTRIBUTS_ARTICLE!$F$2:$F$274,A18)</f>
        <v>37</v>
      </c>
    </row>
    <row r="19" spans="1:2" x14ac:dyDescent="0.25">
      <c r="A19" s="5" t="s">
        <v>750</v>
      </c>
      <c r="B19" s="5">
        <f>COUNTIF(ATTRIBUTS_ARTICLE!$F$2:$F$274,A19)</f>
        <v>31</v>
      </c>
    </row>
    <row r="20" spans="1:2" x14ac:dyDescent="0.25">
      <c r="A20" s="5" t="s">
        <v>793</v>
      </c>
      <c r="B20" s="5">
        <f>COUNTIF(ATTRIBUTS_ARTICLE!$F$2:$F$274,A20)</f>
        <v>1</v>
      </c>
    </row>
    <row r="21" spans="1:2" x14ac:dyDescent="0.25">
      <c r="A21" s="16" t="s">
        <v>1026</v>
      </c>
      <c r="B21" s="16">
        <f>SUM(B17:B20)</f>
        <v>273</v>
      </c>
    </row>
    <row r="23" spans="1:2" x14ac:dyDescent="0.25">
      <c r="A23" s="19" t="s">
        <v>1027</v>
      </c>
      <c r="B23" s="20" t="str">
        <f>IF(B13=B21,"OK","ÉCART")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BASE_ARTICLE</vt:lpstr>
      <vt:lpstr>LISEZ-MOI</vt:lpstr>
      <vt:lpstr>ATTRIBUTS_ARTICLE</vt:lpstr>
      <vt:lpstr>REF_INTRANTS</vt:lpstr>
      <vt:lpstr>REF_MACHINES</vt:lpstr>
      <vt:lpstr>HORS_NOMENCLATURE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Jacques N'GUESSAN</cp:lastModifiedBy>
  <cp:revision>0</cp:revision>
  <dcterms:created xsi:type="dcterms:W3CDTF">2026-09-24T14:14:34Z</dcterms:created>
  <dcterms:modified xsi:type="dcterms:W3CDTF">2026-09-24T15:20:45Z</dcterms:modified>
  <dc:language>en-US</dc:language>
</cp:coreProperties>
</file>